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66925"/>
  <mc:AlternateContent xmlns:mc="http://schemas.openxmlformats.org/markup-compatibility/2006">
    <mc:Choice Requires="x15">
      <x15ac:absPath xmlns:x15ac="http://schemas.microsoft.com/office/spreadsheetml/2010/11/ac" url="C:\Chilkat_sockeye\coho_apportionment\example\"/>
    </mc:Choice>
  </mc:AlternateContent>
  <xr:revisionPtr revIDLastSave="0" documentId="13_ncr:1_{CD1B2E6A-8B08-4C63-B9FF-6FADF5AF25DD}" xr6:coauthVersionLast="47" xr6:coauthVersionMax="47" xr10:uidLastSave="{00000000-0000-0000-0000-000000000000}"/>
  <bookViews>
    <workbookView xWindow="28680" yWindow="-120" windowWidth="29040" windowHeight="15720" tabRatio="649" activeTab="1" xr2:uid="{00000000-000D-0000-FFFF-FFFF00000000}"/>
  </bookViews>
  <sheets>
    <sheet name="raw_data" sheetId="7" r:id="rId1"/>
    <sheet name="global_missfill (Chilkat)" sheetId="16" r:id="rId2"/>
    <sheet name="global_missfill" sheetId="8" r:id="rId3"/>
    <sheet name="local_missfill" sheetId="15"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55" i="16" l="1"/>
  <c r="F156" i="16"/>
  <c r="B155" i="16"/>
  <c r="E156" i="16"/>
  <c r="E155" i="16"/>
  <c r="D156" i="16"/>
  <c r="D155" i="16"/>
  <c r="C156" i="16"/>
  <c r="C155" i="16"/>
  <c r="H3" i="8"/>
  <c r="H3" i="16"/>
  <c r="I3" i="8"/>
  <c r="B156" i="16"/>
  <c r="I3" i="15"/>
  <c r="H3" i="15"/>
  <c r="H3" i="7"/>
  <c r="AJ91" i="7"/>
  <c r="AJ15" i="7"/>
  <c r="B157" i="16" l="1"/>
  <c r="B158" i="16" s="1"/>
  <c r="F157" i="16"/>
  <c r="F158" i="16" s="1"/>
  <c r="E157" i="16"/>
  <c r="E158" i="16" s="1"/>
  <c r="D157" i="16"/>
  <c r="D158" i="16" s="1"/>
  <c r="C157" i="16"/>
  <c r="C158" i="16" s="1"/>
  <c r="B123" i="15"/>
  <c r="B122" i="15"/>
  <c r="B125" i="8"/>
  <c r="B123" i="8"/>
  <c r="B122" i="8"/>
  <c r="AI123" i="15"/>
  <c r="AH123" i="15"/>
  <c r="AG123" i="15"/>
  <c r="AF123" i="15"/>
  <c r="AE123" i="15"/>
  <c r="AD123" i="15"/>
  <c r="AC123" i="15"/>
  <c r="AB123" i="15"/>
  <c r="AA123" i="15"/>
  <c r="Z123" i="15"/>
  <c r="Y123" i="15"/>
  <c r="X123" i="15"/>
  <c r="W123" i="15"/>
  <c r="V123" i="15"/>
  <c r="U123" i="15"/>
  <c r="T123" i="15"/>
  <c r="S123" i="15"/>
  <c r="S124" i="15" s="1"/>
  <c r="S125" i="15" s="1"/>
  <c r="R123" i="15"/>
  <c r="Q123" i="15"/>
  <c r="P123" i="15"/>
  <c r="O123" i="15"/>
  <c r="N123" i="15"/>
  <c r="M123" i="15"/>
  <c r="L123" i="15"/>
  <c r="K123" i="15"/>
  <c r="K124" i="15" s="1"/>
  <c r="K125" i="15" s="1"/>
  <c r="J123" i="15"/>
  <c r="I123" i="15"/>
  <c r="H123" i="15"/>
  <c r="G123" i="15"/>
  <c r="F123" i="15"/>
  <c r="E123" i="15"/>
  <c r="D123" i="15"/>
  <c r="C123" i="15"/>
  <c r="C124" i="15" s="1"/>
  <c r="C125" i="15" s="1"/>
  <c r="AI122" i="15"/>
  <c r="AH122" i="15"/>
  <c r="AH124" i="15" s="1"/>
  <c r="AH125" i="15" s="1"/>
  <c r="AG122" i="15"/>
  <c r="AF122" i="15"/>
  <c r="AE122" i="15"/>
  <c r="AD122" i="15"/>
  <c r="AC122" i="15"/>
  <c r="AB122" i="15"/>
  <c r="AA122" i="15"/>
  <c r="Z122" i="15"/>
  <c r="Y122" i="15"/>
  <c r="X122" i="15"/>
  <c r="W122" i="15"/>
  <c r="V122" i="15"/>
  <c r="U122" i="15"/>
  <c r="T122" i="15"/>
  <c r="S122" i="15"/>
  <c r="R122" i="15"/>
  <c r="R124" i="15" s="1"/>
  <c r="R125" i="15" s="1"/>
  <c r="Q122" i="15"/>
  <c r="P122" i="15"/>
  <c r="O122" i="15"/>
  <c r="N122" i="15"/>
  <c r="M122" i="15"/>
  <c r="L122" i="15"/>
  <c r="K122" i="15"/>
  <c r="J122" i="15"/>
  <c r="I122" i="15"/>
  <c r="H122" i="15"/>
  <c r="G122" i="15"/>
  <c r="F122" i="15"/>
  <c r="E122" i="15"/>
  <c r="D122" i="15"/>
  <c r="C122" i="15"/>
  <c r="AA124" i="15" l="1"/>
  <c r="AA125" i="15" s="1"/>
  <c r="AI124" i="15"/>
  <c r="AI125" i="15" s="1"/>
  <c r="E124" i="15"/>
  <c r="E125" i="15" s="1"/>
  <c r="U124" i="15"/>
  <c r="U125" i="15" s="1"/>
  <c r="D124" i="15"/>
  <c r="D125" i="15" s="1"/>
  <c r="T124" i="15"/>
  <c r="T125" i="15" s="1"/>
  <c r="F124" i="15"/>
  <c r="F125" i="15" s="1"/>
  <c r="V124" i="15"/>
  <c r="V125" i="15" s="1"/>
  <c r="G124" i="15"/>
  <c r="G125" i="15" s="1"/>
  <c r="W124" i="15"/>
  <c r="W125" i="15" s="1"/>
  <c r="H124" i="15"/>
  <c r="H125" i="15" s="1"/>
  <c r="X124" i="15"/>
  <c r="X125" i="15" s="1"/>
  <c r="B124" i="15"/>
  <c r="B125" i="15" s="1"/>
  <c r="J124" i="15"/>
  <c r="J125" i="15" s="1"/>
  <c r="I124" i="15"/>
  <c r="I125" i="15" s="1"/>
  <c r="Y124" i="15"/>
  <c r="Y125" i="15" s="1"/>
  <c r="Z124" i="15"/>
  <c r="Z125" i="15" s="1"/>
  <c r="B124" i="8"/>
  <c r="L124" i="15"/>
  <c r="L125" i="15" s="1"/>
  <c r="N124" i="15"/>
  <c r="N125" i="15" s="1"/>
  <c r="O124" i="15"/>
  <c r="O125" i="15" s="1"/>
  <c r="AE124" i="15"/>
  <c r="AE125" i="15" s="1"/>
  <c r="P124" i="15"/>
  <c r="P125" i="15" s="1"/>
  <c r="AF124" i="15"/>
  <c r="AF125" i="15" s="1"/>
  <c r="AG124" i="15"/>
  <c r="AG125" i="15" s="1"/>
  <c r="AB124" i="15"/>
  <c r="AB125" i="15" s="1"/>
  <c r="M124" i="15"/>
  <c r="M125" i="15" s="1"/>
  <c r="AC124" i="15"/>
  <c r="AC125" i="15" s="1"/>
  <c r="AD124" i="15"/>
  <c r="AD125" i="15" s="1"/>
  <c r="Q124" i="15"/>
  <c r="Q125" i="15" s="1"/>
  <c r="AM125" i="15" l="1"/>
  <c r="AK125" i="15"/>
  <c r="AL125" i="15"/>
  <c r="C122" i="8"/>
  <c r="D122" i="8"/>
  <c r="E122" i="8"/>
  <c r="F122" i="8"/>
  <c r="G122" i="8"/>
  <c r="H122" i="8"/>
  <c r="I122" i="8"/>
  <c r="J122" i="8"/>
  <c r="K122" i="8"/>
  <c r="L122" i="8"/>
  <c r="M122" i="8"/>
  <c r="N122" i="8"/>
  <c r="O122" i="8"/>
  <c r="P122" i="8"/>
  <c r="Q122" i="8"/>
  <c r="R122" i="8"/>
  <c r="S122" i="8"/>
  <c r="T122" i="8"/>
  <c r="U122" i="8"/>
  <c r="V122" i="8"/>
  <c r="W122" i="8"/>
  <c r="X122" i="8"/>
  <c r="Y122" i="8"/>
  <c r="Z122" i="8"/>
  <c r="AA122" i="8"/>
  <c r="AB122" i="8"/>
  <c r="AC122" i="8"/>
  <c r="AD122" i="8"/>
  <c r="AE122" i="8"/>
  <c r="AF122" i="8"/>
  <c r="AG122" i="8"/>
  <c r="AH122" i="8"/>
  <c r="AI122" i="8"/>
  <c r="B133" i="7"/>
  <c r="B125" i="7"/>
  <c r="B120" i="7"/>
  <c r="C123" i="8" l="1"/>
  <c r="D123" i="8"/>
  <c r="D124" i="8" s="1"/>
  <c r="D125" i="8" s="1"/>
  <c r="E123" i="8"/>
  <c r="E124" i="8" s="1"/>
  <c r="E125" i="8" s="1"/>
  <c r="F123" i="8"/>
  <c r="F124" i="8" s="1"/>
  <c r="F125" i="8" s="1"/>
  <c r="G123" i="8"/>
  <c r="G124" i="8" s="1"/>
  <c r="G125" i="8" s="1"/>
  <c r="H123" i="8"/>
  <c r="H124" i="8" s="1"/>
  <c r="H125" i="8" s="1"/>
  <c r="I123" i="8"/>
  <c r="I124" i="8" s="1"/>
  <c r="I125" i="8" s="1"/>
  <c r="J123" i="8"/>
  <c r="J124" i="8" s="1"/>
  <c r="J125" i="8" s="1"/>
  <c r="K123" i="8"/>
  <c r="K124" i="8" s="1"/>
  <c r="K125" i="8" s="1"/>
  <c r="L123" i="8"/>
  <c r="L124" i="8" s="1"/>
  <c r="L125" i="8" s="1"/>
  <c r="M123" i="8"/>
  <c r="M124" i="8" s="1"/>
  <c r="M125" i="8" s="1"/>
  <c r="N123" i="8"/>
  <c r="N124" i="8" s="1"/>
  <c r="N125" i="8" s="1"/>
  <c r="O123" i="8"/>
  <c r="O124" i="8" s="1"/>
  <c r="O125" i="8" s="1"/>
  <c r="P123" i="8"/>
  <c r="P124" i="8" s="1"/>
  <c r="P125" i="8" s="1"/>
  <c r="Q123" i="8"/>
  <c r="Q124" i="8" s="1"/>
  <c r="Q125" i="8" s="1"/>
  <c r="R123" i="8"/>
  <c r="R124" i="8" s="1"/>
  <c r="R125" i="8" s="1"/>
  <c r="S123" i="8"/>
  <c r="T123" i="8"/>
  <c r="T124" i="8" s="1"/>
  <c r="T125" i="8" s="1"/>
  <c r="U123" i="8"/>
  <c r="U124" i="8" s="1"/>
  <c r="U125" i="8" s="1"/>
  <c r="V123" i="8"/>
  <c r="W123" i="8"/>
  <c r="X123" i="8"/>
  <c r="X124" i="8" s="1"/>
  <c r="X125" i="8" s="1"/>
  <c r="Y123" i="8"/>
  <c r="Y124" i="8" s="1"/>
  <c r="Y125" i="8" s="1"/>
  <c r="Z123" i="8"/>
  <c r="Z124" i="8" s="1"/>
  <c r="Z125" i="8" s="1"/>
  <c r="AA123" i="8"/>
  <c r="AA124" i="8" s="1"/>
  <c r="AA125" i="8" s="1"/>
  <c r="AB123" i="8"/>
  <c r="AB124" i="8" s="1"/>
  <c r="AB125" i="8" s="1"/>
  <c r="AC123" i="8"/>
  <c r="AC124" i="8" s="1"/>
  <c r="AC125" i="8" s="1"/>
  <c r="AD123" i="8"/>
  <c r="AD124" i="8" s="1"/>
  <c r="AD125" i="8" s="1"/>
  <c r="AE123" i="8"/>
  <c r="AE124" i="8" s="1"/>
  <c r="AE125" i="8" s="1"/>
  <c r="AF123" i="8"/>
  <c r="AF124" i="8" s="1"/>
  <c r="AF125" i="8" s="1"/>
  <c r="AG123" i="8"/>
  <c r="AG124" i="8" s="1"/>
  <c r="AG125" i="8" s="1"/>
  <c r="AH123" i="8"/>
  <c r="AH124" i="8" s="1"/>
  <c r="AH125" i="8" s="1"/>
  <c r="AI123" i="8"/>
  <c r="C124" i="8"/>
  <c r="C125" i="8" s="1"/>
  <c r="S124" i="8"/>
  <c r="S125" i="8" s="1"/>
  <c r="W124" i="8"/>
  <c r="AI124" i="8"/>
  <c r="AI125" i="8" s="1"/>
  <c r="W125" i="8"/>
  <c r="V124" i="8" l="1"/>
  <c r="V125" i="8" s="1"/>
  <c r="AM125" i="8" l="1"/>
  <c r="AK125" i="8"/>
  <c r="AL125" i="8"/>
  <c r="C125" i="7"/>
  <c r="D125" i="7"/>
  <c r="E125" i="7"/>
  <c r="F125" i="7"/>
  <c r="G125" i="7"/>
  <c r="H125" i="7"/>
  <c r="I125" i="7"/>
  <c r="J125" i="7"/>
  <c r="K125" i="7"/>
  <c r="L125" i="7"/>
  <c r="M125" i="7"/>
  <c r="N125" i="7"/>
  <c r="O125" i="7"/>
  <c r="P125" i="7"/>
  <c r="Q125" i="7"/>
  <c r="R125" i="7"/>
  <c r="S125" i="7"/>
  <c r="T125" i="7"/>
  <c r="U125" i="7"/>
  <c r="V125" i="7"/>
  <c r="W125" i="7"/>
  <c r="X125" i="7"/>
  <c r="Y125" i="7"/>
  <c r="Z125" i="7"/>
  <c r="AA125" i="7"/>
  <c r="AB125" i="7"/>
  <c r="AC125" i="7"/>
  <c r="AD125" i="7"/>
  <c r="AE125" i="7"/>
  <c r="AF125" i="7"/>
  <c r="AG125" i="7"/>
  <c r="AH125" i="7"/>
  <c r="AI125" i="7"/>
  <c r="B126" i="7"/>
  <c r="C126" i="7"/>
  <c r="D126" i="7"/>
  <c r="E126" i="7"/>
  <c r="F126" i="7"/>
  <c r="G126" i="7"/>
  <c r="H126" i="7"/>
  <c r="I126" i="7"/>
  <c r="J126" i="7"/>
  <c r="K126" i="7"/>
  <c r="L126" i="7"/>
  <c r="M126" i="7"/>
  <c r="N126" i="7"/>
  <c r="O126" i="7"/>
  <c r="P126" i="7"/>
  <c r="Q126" i="7"/>
  <c r="R126" i="7"/>
  <c r="S126" i="7"/>
  <c r="T126" i="7"/>
  <c r="U126" i="7"/>
  <c r="V126" i="7"/>
  <c r="W126" i="7"/>
  <c r="X126" i="7"/>
  <c r="Y126" i="7"/>
  <c r="Z126" i="7"/>
  <c r="AA126" i="7"/>
  <c r="AB126" i="7"/>
  <c r="AC126" i="7"/>
  <c r="AD126" i="7"/>
  <c r="AE126" i="7"/>
  <c r="AF126" i="7"/>
  <c r="AG126" i="7"/>
  <c r="AH126" i="7"/>
  <c r="AI126" i="7"/>
  <c r="B127" i="7"/>
  <c r="C127" i="7"/>
  <c r="D127" i="7"/>
  <c r="E127" i="7"/>
  <c r="F127" i="7"/>
  <c r="G127" i="7"/>
  <c r="H127" i="7"/>
  <c r="I127" i="7"/>
  <c r="J127" i="7"/>
  <c r="K127" i="7"/>
  <c r="L127" i="7"/>
  <c r="M127" i="7"/>
  <c r="N127" i="7"/>
  <c r="O127" i="7"/>
  <c r="P127" i="7"/>
  <c r="Q127" i="7"/>
  <c r="R127" i="7"/>
  <c r="S127" i="7"/>
  <c r="T127" i="7"/>
  <c r="U127" i="7"/>
  <c r="V127" i="7"/>
  <c r="W127" i="7"/>
  <c r="X127" i="7"/>
  <c r="Y127" i="7"/>
  <c r="Z127" i="7"/>
  <c r="AA127" i="7"/>
  <c r="AB127" i="7"/>
  <c r="AC127" i="7"/>
  <c r="AD127" i="7"/>
  <c r="AE127" i="7"/>
  <c r="AF127" i="7"/>
  <c r="AG127" i="7"/>
  <c r="AH127" i="7"/>
  <c r="AI127" i="7"/>
  <c r="B128" i="7"/>
  <c r="C128" i="7"/>
  <c r="D128" i="7"/>
  <c r="E128" i="7"/>
  <c r="F128" i="7"/>
  <c r="G128" i="7"/>
  <c r="H128" i="7"/>
  <c r="I128" i="7"/>
  <c r="J128" i="7"/>
  <c r="K128" i="7"/>
  <c r="L128" i="7"/>
  <c r="M128" i="7"/>
  <c r="N128" i="7"/>
  <c r="O128" i="7"/>
  <c r="P128" i="7"/>
  <c r="Q128" i="7"/>
  <c r="R128" i="7"/>
  <c r="S128" i="7"/>
  <c r="T128" i="7"/>
  <c r="U128" i="7"/>
  <c r="V128" i="7"/>
  <c r="W128" i="7"/>
  <c r="X128" i="7"/>
  <c r="Y128" i="7"/>
  <c r="Z128" i="7"/>
  <c r="AA128" i="7"/>
  <c r="AB128" i="7"/>
  <c r="AC128" i="7"/>
  <c r="AD128" i="7"/>
  <c r="AE128" i="7"/>
  <c r="AF128" i="7"/>
  <c r="AG128" i="7"/>
  <c r="AH128" i="7"/>
  <c r="AI128" i="7"/>
  <c r="B129" i="7"/>
  <c r="C129" i="7"/>
  <c r="D129" i="7"/>
  <c r="E129" i="7"/>
  <c r="F129" i="7"/>
  <c r="G129" i="7"/>
  <c r="H129" i="7"/>
  <c r="I129" i="7"/>
  <c r="J129" i="7"/>
  <c r="K129" i="7"/>
  <c r="L129" i="7"/>
  <c r="M129" i="7"/>
  <c r="N129" i="7"/>
  <c r="O129" i="7"/>
  <c r="P129" i="7"/>
  <c r="Q129" i="7"/>
  <c r="R129" i="7"/>
  <c r="S129" i="7"/>
  <c r="T129" i="7"/>
  <c r="U129" i="7"/>
  <c r="V129" i="7"/>
  <c r="W129" i="7"/>
  <c r="X129" i="7"/>
  <c r="Y129" i="7"/>
  <c r="Z129" i="7"/>
  <c r="AA129" i="7"/>
  <c r="AB129" i="7"/>
  <c r="AC129" i="7"/>
  <c r="AD129" i="7"/>
  <c r="AE129" i="7"/>
  <c r="AF129" i="7"/>
  <c r="AG129" i="7"/>
  <c r="AH129" i="7"/>
  <c r="AI129" i="7"/>
  <c r="B130" i="7"/>
  <c r="C130" i="7"/>
  <c r="D130" i="7"/>
  <c r="E130" i="7"/>
  <c r="F130" i="7"/>
  <c r="G130" i="7"/>
  <c r="H130" i="7"/>
  <c r="I130" i="7"/>
  <c r="J130" i="7"/>
  <c r="K130" i="7"/>
  <c r="L130" i="7"/>
  <c r="M130" i="7"/>
  <c r="N130" i="7"/>
  <c r="O130" i="7"/>
  <c r="P130" i="7"/>
  <c r="Q130" i="7"/>
  <c r="R130" i="7"/>
  <c r="S130" i="7"/>
  <c r="T130" i="7"/>
  <c r="U130" i="7"/>
  <c r="V130" i="7"/>
  <c r="W130" i="7"/>
  <c r="X130" i="7"/>
  <c r="Y130" i="7"/>
  <c r="Z130" i="7"/>
  <c r="AA130" i="7"/>
  <c r="AB130" i="7"/>
  <c r="AC130" i="7"/>
  <c r="AD130" i="7"/>
  <c r="AE130" i="7"/>
  <c r="AF130" i="7"/>
  <c r="AG130" i="7"/>
  <c r="AH130" i="7"/>
  <c r="AI130" i="7"/>
  <c r="B131" i="7"/>
  <c r="C131" i="7"/>
  <c r="D131" i="7"/>
  <c r="E131" i="7"/>
  <c r="F131" i="7"/>
  <c r="G131" i="7"/>
  <c r="H131" i="7"/>
  <c r="I131" i="7"/>
  <c r="J131" i="7"/>
  <c r="K131" i="7"/>
  <c r="L131" i="7"/>
  <c r="M131" i="7"/>
  <c r="N131" i="7"/>
  <c r="O131" i="7"/>
  <c r="P131" i="7"/>
  <c r="Q131" i="7"/>
  <c r="R131" i="7"/>
  <c r="S131" i="7"/>
  <c r="T131" i="7"/>
  <c r="U131" i="7"/>
  <c r="V131" i="7"/>
  <c r="W131" i="7"/>
  <c r="X131" i="7"/>
  <c r="Y131" i="7"/>
  <c r="Z131" i="7"/>
  <c r="AA131" i="7"/>
  <c r="AB131" i="7"/>
  <c r="AC131" i="7"/>
  <c r="AD131" i="7"/>
  <c r="AE131" i="7"/>
  <c r="AF131" i="7"/>
  <c r="AG131" i="7"/>
  <c r="AH131" i="7"/>
  <c r="AI131" i="7"/>
  <c r="B132" i="7"/>
  <c r="C132" i="7"/>
  <c r="D132" i="7"/>
  <c r="E132" i="7"/>
  <c r="F132" i="7"/>
  <c r="G132" i="7"/>
  <c r="H132" i="7"/>
  <c r="I132" i="7"/>
  <c r="J132" i="7"/>
  <c r="K132" i="7"/>
  <c r="L132" i="7"/>
  <c r="M132" i="7"/>
  <c r="N132" i="7"/>
  <c r="O132" i="7"/>
  <c r="P132" i="7"/>
  <c r="Q132" i="7"/>
  <c r="R132" i="7"/>
  <c r="S132" i="7"/>
  <c r="T132" i="7"/>
  <c r="U132" i="7"/>
  <c r="V132" i="7"/>
  <c r="W132" i="7"/>
  <c r="X132" i="7"/>
  <c r="Y132" i="7"/>
  <c r="Z132" i="7"/>
  <c r="AA132" i="7"/>
  <c r="AB132" i="7"/>
  <c r="AC132" i="7"/>
  <c r="AD132" i="7"/>
  <c r="AE132" i="7"/>
  <c r="AF132" i="7"/>
  <c r="AG132" i="7"/>
  <c r="AH132" i="7"/>
  <c r="AI132" i="7"/>
  <c r="C133" i="7"/>
  <c r="D133" i="7"/>
  <c r="E133" i="7"/>
  <c r="F133" i="7"/>
  <c r="G133" i="7"/>
  <c r="H133" i="7"/>
  <c r="I133" i="7"/>
  <c r="J133" i="7"/>
  <c r="K133" i="7"/>
  <c r="L133" i="7"/>
  <c r="M133" i="7"/>
  <c r="N133" i="7"/>
  <c r="O133" i="7"/>
  <c r="P133" i="7"/>
  <c r="Q133" i="7"/>
  <c r="R133" i="7"/>
  <c r="S133" i="7"/>
  <c r="T133" i="7"/>
  <c r="U133" i="7"/>
  <c r="V133" i="7"/>
  <c r="W133" i="7"/>
  <c r="X133" i="7"/>
  <c r="Y133" i="7"/>
  <c r="Z133" i="7"/>
  <c r="AA133" i="7"/>
  <c r="AB133" i="7"/>
  <c r="AC133" i="7"/>
  <c r="AD133" i="7"/>
  <c r="AE133" i="7"/>
  <c r="AF133" i="7"/>
  <c r="AG133" i="7"/>
  <c r="AH133" i="7"/>
  <c r="AI133" i="7"/>
  <c r="B134" i="7"/>
  <c r="C134" i="7"/>
  <c r="D134" i="7"/>
  <c r="E134" i="7"/>
  <c r="F134" i="7"/>
  <c r="G134" i="7"/>
  <c r="H134" i="7"/>
  <c r="I134" i="7"/>
  <c r="J134" i="7"/>
  <c r="K134" i="7"/>
  <c r="L134" i="7"/>
  <c r="M134" i="7"/>
  <c r="N134" i="7"/>
  <c r="O134" i="7"/>
  <c r="P134" i="7"/>
  <c r="Q134" i="7"/>
  <c r="R134" i="7"/>
  <c r="S134" i="7"/>
  <c r="T134" i="7"/>
  <c r="U134" i="7"/>
  <c r="V134" i="7"/>
  <c r="W134" i="7"/>
  <c r="X134" i="7"/>
  <c r="Y134" i="7"/>
  <c r="Z134" i="7"/>
  <c r="AA134" i="7"/>
  <c r="AB134" i="7"/>
  <c r="AC134" i="7"/>
  <c r="AD134" i="7"/>
  <c r="AE134" i="7"/>
  <c r="AF134" i="7"/>
  <c r="AG134" i="7"/>
  <c r="AH134" i="7"/>
  <c r="AI134" i="7"/>
  <c r="B135" i="7"/>
  <c r="C135" i="7"/>
  <c r="D135" i="7"/>
  <c r="E135" i="7"/>
  <c r="F135" i="7"/>
  <c r="G135" i="7"/>
  <c r="H135" i="7"/>
  <c r="I135" i="7"/>
  <c r="J135" i="7"/>
  <c r="K135" i="7"/>
  <c r="L135" i="7"/>
  <c r="M135" i="7"/>
  <c r="N135" i="7"/>
  <c r="O135" i="7"/>
  <c r="P135" i="7"/>
  <c r="Q135" i="7"/>
  <c r="R135" i="7"/>
  <c r="S135" i="7"/>
  <c r="T135" i="7"/>
  <c r="U135" i="7"/>
  <c r="V135" i="7"/>
  <c r="W135" i="7"/>
  <c r="X135" i="7"/>
  <c r="Y135" i="7"/>
  <c r="Z135" i="7"/>
  <c r="AA135" i="7"/>
  <c r="AB135" i="7"/>
  <c r="AC135" i="7"/>
  <c r="AD135" i="7"/>
  <c r="AE135" i="7"/>
  <c r="AF135" i="7"/>
  <c r="AG135" i="7"/>
  <c r="AH135" i="7"/>
  <c r="AI135" i="7"/>
  <c r="B136" i="7"/>
  <c r="C136" i="7"/>
  <c r="D136" i="7"/>
  <c r="E136" i="7"/>
  <c r="F136" i="7"/>
  <c r="G136" i="7"/>
  <c r="H136" i="7"/>
  <c r="I136" i="7"/>
  <c r="J136" i="7"/>
  <c r="K136" i="7"/>
  <c r="L136" i="7"/>
  <c r="M136" i="7"/>
  <c r="N136" i="7"/>
  <c r="O136" i="7"/>
  <c r="P136" i="7"/>
  <c r="Q136" i="7"/>
  <c r="R136" i="7"/>
  <c r="S136" i="7"/>
  <c r="T136" i="7"/>
  <c r="U136" i="7"/>
  <c r="V136" i="7"/>
  <c r="W136" i="7"/>
  <c r="X136" i="7"/>
  <c r="Y136" i="7"/>
  <c r="Z136" i="7"/>
  <c r="AA136" i="7"/>
  <c r="AB136" i="7"/>
  <c r="AC136" i="7"/>
  <c r="AD136" i="7"/>
  <c r="AE136" i="7"/>
  <c r="AF136" i="7"/>
  <c r="AG136" i="7"/>
  <c r="AH136" i="7"/>
  <c r="AI136" i="7"/>
  <c r="B137" i="7"/>
  <c r="C137" i="7"/>
  <c r="D137" i="7"/>
  <c r="E137" i="7"/>
  <c r="F137" i="7"/>
  <c r="G137" i="7"/>
  <c r="H137" i="7"/>
  <c r="I137" i="7"/>
  <c r="J137" i="7"/>
  <c r="K137" i="7"/>
  <c r="L137" i="7"/>
  <c r="M137" i="7"/>
  <c r="N137" i="7"/>
  <c r="O137" i="7"/>
  <c r="P137" i="7"/>
  <c r="Q137" i="7"/>
  <c r="R137" i="7"/>
  <c r="S137" i="7"/>
  <c r="T137" i="7"/>
  <c r="U137" i="7"/>
  <c r="V137" i="7"/>
  <c r="W137" i="7"/>
  <c r="X137" i="7"/>
  <c r="Y137" i="7"/>
  <c r="Z137" i="7"/>
  <c r="AA137" i="7"/>
  <c r="AB137" i="7"/>
  <c r="AC137" i="7"/>
  <c r="AD137" i="7"/>
  <c r="AE137" i="7"/>
  <c r="AF137" i="7"/>
  <c r="AG137" i="7"/>
  <c r="AH137" i="7"/>
  <c r="AI137" i="7"/>
  <c r="B138" i="7"/>
  <c r="C138" i="7"/>
  <c r="D138" i="7"/>
  <c r="E138" i="7"/>
  <c r="F138" i="7"/>
  <c r="G138" i="7"/>
  <c r="H138" i="7"/>
  <c r="I138" i="7"/>
  <c r="J138" i="7"/>
  <c r="K138" i="7"/>
  <c r="L138" i="7"/>
  <c r="M138" i="7"/>
  <c r="N138" i="7"/>
  <c r="O138" i="7"/>
  <c r="P138" i="7"/>
  <c r="Q138" i="7"/>
  <c r="R138" i="7"/>
  <c r="S138" i="7"/>
  <c r="T138" i="7"/>
  <c r="U138" i="7"/>
  <c r="V138" i="7"/>
  <c r="W138" i="7"/>
  <c r="X138" i="7"/>
  <c r="Y138" i="7"/>
  <c r="Z138" i="7"/>
  <c r="AA138" i="7"/>
  <c r="AB138" i="7"/>
  <c r="AC138" i="7"/>
  <c r="AD138" i="7"/>
  <c r="AE138" i="7"/>
  <c r="AF138" i="7"/>
  <c r="AG138" i="7"/>
  <c r="AH138" i="7"/>
  <c r="AI138" i="7"/>
  <c r="B139" i="7"/>
  <c r="C139" i="7"/>
  <c r="D139" i="7"/>
  <c r="E139" i="7"/>
  <c r="F139" i="7"/>
  <c r="G139" i="7"/>
  <c r="H139" i="7"/>
  <c r="I139" i="7"/>
  <c r="J139" i="7"/>
  <c r="K139" i="7"/>
  <c r="L139" i="7"/>
  <c r="M139" i="7"/>
  <c r="N139" i="7"/>
  <c r="O139" i="7"/>
  <c r="P139" i="7"/>
  <c r="Q139" i="7"/>
  <c r="R139" i="7"/>
  <c r="S139" i="7"/>
  <c r="T139" i="7"/>
  <c r="U139" i="7"/>
  <c r="V139" i="7"/>
  <c r="W139" i="7"/>
  <c r="X139" i="7"/>
  <c r="Y139" i="7"/>
  <c r="Z139" i="7"/>
  <c r="AA139" i="7"/>
  <c r="AB139" i="7"/>
  <c r="AC139" i="7"/>
  <c r="AD139" i="7"/>
  <c r="AE139" i="7"/>
  <c r="AF139" i="7"/>
  <c r="AG139" i="7"/>
  <c r="AH139" i="7"/>
  <c r="AI139" i="7"/>
  <c r="B140" i="7"/>
  <c r="C140" i="7"/>
  <c r="D140" i="7"/>
  <c r="E140" i="7"/>
  <c r="F140" i="7"/>
  <c r="G140" i="7"/>
  <c r="H140" i="7"/>
  <c r="I140" i="7"/>
  <c r="J140" i="7"/>
  <c r="K140" i="7"/>
  <c r="L140" i="7"/>
  <c r="M140" i="7"/>
  <c r="N140" i="7"/>
  <c r="O140" i="7"/>
  <c r="P140" i="7"/>
  <c r="Q140" i="7"/>
  <c r="R140" i="7"/>
  <c r="S140" i="7"/>
  <c r="T140" i="7"/>
  <c r="U140" i="7"/>
  <c r="V140" i="7"/>
  <c r="W140" i="7"/>
  <c r="X140" i="7"/>
  <c r="Y140" i="7"/>
  <c r="Z140" i="7"/>
  <c r="AA140" i="7"/>
  <c r="AB140" i="7"/>
  <c r="AC140" i="7"/>
  <c r="AD140" i="7"/>
  <c r="AE140" i="7"/>
  <c r="AF140" i="7"/>
  <c r="AG140" i="7"/>
  <c r="AH140" i="7"/>
  <c r="AI140" i="7"/>
  <c r="B141" i="7"/>
  <c r="C141" i="7"/>
  <c r="D141" i="7"/>
  <c r="E141" i="7"/>
  <c r="F141" i="7"/>
  <c r="G141" i="7"/>
  <c r="H141" i="7"/>
  <c r="I141" i="7"/>
  <c r="J141" i="7"/>
  <c r="K141" i="7"/>
  <c r="L141" i="7"/>
  <c r="M141" i="7"/>
  <c r="N141" i="7"/>
  <c r="O141" i="7"/>
  <c r="P141" i="7"/>
  <c r="Q141" i="7"/>
  <c r="R141" i="7"/>
  <c r="S141" i="7"/>
  <c r="T141" i="7"/>
  <c r="U141" i="7"/>
  <c r="V141" i="7"/>
  <c r="W141" i="7"/>
  <c r="X141" i="7"/>
  <c r="Y141" i="7"/>
  <c r="Z141" i="7"/>
  <c r="AA141" i="7"/>
  <c r="AB141" i="7"/>
  <c r="AC141" i="7"/>
  <c r="AD141" i="7"/>
  <c r="AE141" i="7"/>
  <c r="AF141" i="7"/>
  <c r="AG141" i="7"/>
  <c r="AH141" i="7"/>
  <c r="AI141" i="7"/>
  <c r="B142" i="7"/>
  <c r="C142" i="7"/>
  <c r="D142" i="7"/>
  <c r="E142" i="7"/>
  <c r="F142" i="7"/>
  <c r="G142" i="7"/>
  <c r="H142" i="7"/>
  <c r="I142" i="7"/>
  <c r="J142" i="7"/>
  <c r="K142" i="7"/>
  <c r="L142" i="7"/>
  <c r="M142" i="7"/>
  <c r="N142" i="7"/>
  <c r="O142" i="7"/>
  <c r="P142" i="7"/>
  <c r="Q142" i="7"/>
  <c r="R142" i="7"/>
  <c r="S142" i="7"/>
  <c r="T142" i="7"/>
  <c r="U142" i="7"/>
  <c r="V142" i="7"/>
  <c r="W142" i="7"/>
  <c r="X142" i="7"/>
  <c r="Y142" i="7"/>
  <c r="Z142" i="7"/>
  <c r="AA142" i="7"/>
  <c r="AB142" i="7"/>
  <c r="AC142" i="7"/>
  <c r="AD142" i="7"/>
  <c r="AE142" i="7"/>
  <c r="AF142" i="7"/>
  <c r="AG142" i="7"/>
  <c r="AH142" i="7"/>
  <c r="AI142" i="7"/>
  <c r="B143" i="7"/>
  <c r="C143" i="7"/>
  <c r="D143" i="7"/>
  <c r="E143" i="7"/>
  <c r="F143" i="7"/>
  <c r="G143" i="7"/>
  <c r="H143" i="7"/>
  <c r="I143" i="7"/>
  <c r="J143" i="7"/>
  <c r="K143" i="7"/>
  <c r="L143" i="7"/>
  <c r="M143" i="7"/>
  <c r="N143" i="7"/>
  <c r="O143" i="7"/>
  <c r="P143" i="7"/>
  <c r="Q143" i="7"/>
  <c r="R143" i="7"/>
  <c r="S143" i="7"/>
  <c r="T143" i="7"/>
  <c r="U143" i="7"/>
  <c r="V143" i="7"/>
  <c r="W143" i="7"/>
  <c r="X143" i="7"/>
  <c r="Y143" i="7"/>
  <c r="Z143" i="7"/>
  <c r="AA143" i="7"/>
  <c r="AB143" i="7"/>
  <c r="AC143" i="7"/>
  <c r="AD143" i="7"/>
  <c r="AE143" i="7"/>
  <c r="AF143" i="7"/>
  <c r="AG143" i="7"/>
  <c r="AH143" i="7"/>
  <c r="AI143" i="7"/>
  <c r="B144" i="7"/>
  <c r="C144" i="7"/>
  <c r="D144" i="7"/>
  <c r="E144" i="7"/>
  <c r="F144" i="7"/>
  <c r="G144" i="7"/>
  <c r="H144" i="7"/>
  <c r="I144" i="7"/>
  <c r="J144" i="7"/>
  <c r="K144" i="7"/>
  <c r="L144" i="7"/>
  <c r="M144" i="7"/>
  <c r="N144" i="7"/>
  <c r="O144" i="7"/>
  <c r="P144" i="7"/>
  <c r="Q144" i="7"/>
  <c r="R144" i="7"/>
  <c r="S144" i="7"/>
  <c r="T144" i="7"/>
  <c r="U144" i="7"/>
  <c r="V144" i="7"/>
  <c r="W144" i="7"/>
  <c r="X144" i="7"/>
  <c r="Y144" i="7"/>
  <c r="Z144" i="7"/>
  <c r="AA144" i="7"/>
  <c r="AB144" i="7"/>
  <c r="AC144" i="7"/>
  <c r="AD144" i="7"/>
  <c r="AE144" i="7"/>
  <c r="AF144" i="7"/>
  <c r="AG144" i="7"/>
  <c r="AH144" i="7"/>
  <c r="AI144" i="7"/>
  <c r="B145" i="7"/>
  <c r="C145" i="7"/>
  <c r="D145" i="7"/>
  <c r="E145" i="7"/>
  <c r="F145" i="7"/>
  <c r="G145" i="7"/>
  <c r="H145" i="7"/>
  <c r="I145" i="7"/>
  <c r="J145" i="7"/>
  <c r="K145" i="7"/>
  <c r="L145" i="7"/>
  <c r="M145" i="7"/>
  <c r="N145" i="7"/>
  <c r="O145" i="7"/>
  <c r="P145" i="7"/>
  <c r="Q145" i="7"/>
  <c r="R145" i="7"/>
  <c r="S145" i="7"/>
  <c r="T145" i="7"/>
  <c r="U145" i="7"/>
  <c r="V145" i="7"/>
  <c r="W145" i="7"/>
  <c r="X145" i="7"/>
  <c r="Y145" i="7"/>
  <c r="Z145" i="7"/>
  <c r="AA145" i="7"/>
  <c r="AB145" i="7"/>
  <c r="AC145" i="7"/>
  <c r="AD145" i="7"/>
  <c r="AE145" i="7"/>
  <c r="AF145" i="7"/>
  <c r="AG145" i="7"/>
  <c r="AH145" i="7"/>
  <c r="AI145" i="7"/>
  <c r="B146" i="7"/>
  <c r="C146" i="7"/>
  <c r="D146" i="7"/>
  <c r="E146" i="7"/>
  <c r="F146" i="7"/>
  <c r="G146" i="7"/>
  <c r="H146" i="7"/>
  <c r="I146" i="7"/>
  <c r="J146" i="7"/>
  <c r="K146" i="7"/>
  <c r="L146" i="7"/>
  <c r="M146" i="7"/>
  <c r="N146" i="7"/>
  <c r="O146" i="7"/>
  <c r="P146" i="7"/>
  <c r="Q146" i="7"/>
  <c r="R146" i="7"/>
  <c r="S146" i="7"/>
  <c r="T146" i="7"/>
  <c r="U146" i="7"/>
  <c r="V146" i="7"/>
  <c r="W146" i="7"/>
  <c r="X146" i="7"/>
  <c r="Y146" i="7"/>
  <c r="Z146" i="7"/>
  <c r="AA146" i="7"/>
  <c r="AB146" i="7"/>
  <c r="AC146" i="7"/>
  <c r="AD146" i="7"/>
  <c r="AE146" i="7"/>
  <c r="AF146" i="7"/>
  <c r="AG146" i="7"/>
  <c r="AH146" i="7"/>
  <c r="AI146" i="7"/>
  <c r="B147" i="7"/>
  <c r="C147" i="7"/>
  <c r="D147" i="7"/>
  <c r="E147" i="7"/>
  <c r="F147" i="7"/>
  <c r="G147" i="7"/>
  <c r="H147" i="7"/>
  <c r="I147" i="7"/>
  <c r="J147" i="7"/>
  <c r="K147" i="7"/>
  <c r="L147" i="7"/>
  <c r="M147" i="7"/>
  <c r="N147" i="7"/>
  <c r="O147" i="7"/>
  <c r="P147" i="7"/>
  <c r="Q147" i="7"/>
  <c r="R147" i="7"/>
  <c r="S147" i="7"/>
  <c r="T147" i="7"/>
  <c r="U147" i="7"/>
  <c r="V147" i="7"/>
  <c r="W147" i="7"/>
  <c r="X147" i="7"/>
  <c r="Y147" i="7"/>
  <c r="Z147" i="7"/>
  <c r="AA147" i="7"/>
  <c r="AB147" i="7"/>
  <c r="AC147" i="7"/>
  <c r="AD147" i="7"/>
  <c r="AE147" i="7"/>
  <c r="AF147" i="7"/>
  <c r="AG147" i="7"/>
  <c r="AH147" i="7"/>
  <c r="AI147" i="7"/>
  <c r="B148" i="7"/>
  <c r="C148" i="7"/>
  <c r="D148" i="7"/>
  <c r="E148" i="7"/>
  <c r="F148" i="7"/>
  <c r="G148" i="7"/>
  <c r="H148" i="7"/>
  <c r="I148" i="7"/>
  <c r="J148" i="7"/>
  <c r="K148" i="7"/>
  <c r="L148" i="7"/>
  <c r="M148" i="7"/>
  <c r="N148" i="7"/>
  <c r="O148" i="7"/>
  <c r="P148" i="7"/>
  <c r="Q148" i="7"/>
  <c r="R148" i="7"/>
  <c r="S148" i="7"/>
  <c r="T148" i="7"/>
  <c r="U148" i="7"/>
  <c r="V148" i="7"/>
  <c r="W148" i="7"/>
  <c r="X148" i="7"/>
  <c r="Y148" i="7"/>
  <c r="Z148" i="7"/>
  <c r="AA148" i="7"/>
  <c r="AB148" i="7"/>
  <c r="AC148" i="7"/>
  <c r="AD148" i="7"/>
  <c r="AE148" i="7"/>
  <c r="AF148" i="7"/>
  <c r="AG148" i="7"/>
  <c r="AH148" i="7"/>
  <c r="AI148" i="7"/>
  <c r="B149" i="7"/>
  <c r="C149" i="7"/>
  <c r="D149" i="7"/>
  <c r="E149" i="7"/>
  <c r="F149" i="7"/>
  <c r="G149" i="7"/>
  <c r="H149" i="7"/>
  <c r="I149" i="7"/>
  <c r="J149" i="7"/>
  <c r="K149" i="7"/>
  <c r="L149" i="7"/>
  <c r="M149" i="7"/>
  <c r="N149" i="7"/>
  <c r="O149" i="7"/>
  <c r="P149" i="7"/>
  <c r="Q149" i="7"/>
  <c r="R149" i="7"/>
  <c r="S149" i="7"/>
  <c r="T149" i="7"/>
  <c r="U149" i="7"/>
  <c r="V149" i="7"/>
  <c r="W149" i="7"/>
  <c r="X149" i="7"/>
  <c r="Y149" i="7"/>
  <c r="Z149" i="7"/>
  <c r="AA149" i="7"/>
  <c r="AB149" i="7"/>
  <c r="AC149" i="7"/>
  <c r="AD149" i="7"/>
  <c r="AE149" i="7"/>
  <c r="AF149" i="7"/>
  <c r="AG149" i="7"/>
  <c r="AH149" i="7"/>
  <c r="AI149" i="7"/>
  <c r="B150" i="7"/>
  <c r="C150" i="7"/>
  <c r="D150" i="7"/>
  <c r="E150" i="7"/>
  <c r="F150" i="7"/>
  <c r="G150" i="7"/>
  <c r="H150" i="7"/>
  <c r="I150" i="7"/>
  <c r="J150" i="7"/>
  <c r="K150" i="7"/>
  <c r="L150" i="7"/>
  <c r="M150" i="7"/>
  <c r="N150" i="7"/>
  <c r="O150" i="7"/>
  <c r="P150" i="7"/>
  <c r="Q150" i="7"/>
  <c r="R150" i="7"/>
  <c r="S150" i="7"/>
  <c r="T150" i="7"/>
  <c r="U150" i="7"/>
  <c r="V150" i="7"/>
  <c r="W150" i="7"/>
  <c r="X150" i="7"/>
  <c r="Y150" i="7"/>
  <c r="Z150" i="7"/>
  <c r="AA150" i="7"/>
  <c r="AB150" i="7"/>
  <c r="AC150" i="7"/>
  <c r="AD150" i="7"/>
  <c r="AE150" i="7"/>
  <c r="AF150" i="7"/>
  <c r="AG150" i="7"/>
  <c r="AH150" i="7"/>
  <c r="AI150" i="7"/>
  <c r="B151" i="7"/>
  <c r="C151" i="7"/>
  <c r="D151" i="7"/>
  <c r="E151" i="7"/>
  <c r="F151" i="7"/>
  <c r="G151" i="7"/>
  <c r="H151" i="7"/>
  <c r="I151" i="7"/>
  <c r="J151" i="7"/>
  <c r="K151" i="7"/>
  <c r="L151" i="7"/>
  <c r="M151" i="7"/>
  <c r="N151" i="7"/>
  <c r="O151" i="7"/>
  <c r="P151" i="7"/>
  <c r="Q151" i="7"/>
  <c r="R151" i="7"/>
  <c r="S151" i="7"/>
  <c r="T151" i="7"/>
  <c r="U151" i="7"/>
  <c r="V151" i="7"/>
  <c r="W151" i="7"/>
  <c r="X151" i="7"/>
  <c r="Y151" i="7"/>
  <c r="Z151" i="7"/>
  <c r="AA151" i="7"/>
  <c r="AB151" i="7"/>
  <c r="AC151" i="7"/>
  <c r="AD151" i="7"/>
  <c r="AE151" i="7"/>
  <c r="AF151" i="7"/>
  <c r="AG151" i="7"/>
  <c r="AH151" i="7"/>
  <c r="AI151" i="7"/>
  <c r="B152" i="7"/>
  <c r="C152" i="7"/>
  <c r="D152" i="7"/>
  <c r="E152" i="7"/>
  <c r="F152" i="7"/>
  <c r="G152" i="7"/>
  <c r="H152" i="7"/>
  <c r="I152" i="7"/>
  <c r="J152" i="7"/>
  <c r="K152" i="7"/>
  <c r="L152" i="7"/>
  <c r="M152" i="7"/>
  <c r="N152" i="7"/>
  <c r="O152" i="7"/>
  <c r="P152" i="7"/>
  <c r="Q152" i="7"/>
  <c r="R152" i="7"/>
  <c r="S152" i="7"/>
  <c r="T152" i="7"/>
  <c r="U152" i="7"/>
  <c r="V152" i="7"/>
  <c r="W152" i="7"/>
  <c r="X152" i="7"/>
  <c r="Y152" i="7"/>
  <c r="Z152" i="7"/>
  <c r="AA152" i="7"/>
  <c r="AB152" i="7"/>
  <c r="AC152" i="7"/>
  <c r="AD152" i="7"/>
  <c r="AE152" i="7"/>
  <c r="AF152" i="7"/>
  <c r="AG152" i="7"/>
  <c r="AH152" i="7"/>
  <c r="AI152" i="7"/>
  <c r="B153" i="7"/>
  <c r="C153" i="7"/>
  <c r="D153" i="7"/>
  <c r="E153" i="7"/>
  <c r="F153" i="7"/>
  <c r="G153" i="7"/>
  <c r="H153" i="7"/>
  <c r="I153" i="7"/>
  <c r="J153" i="7"/>
  <c r="K153" i="7"/>
  <c r="L153" i="7"/>
  <c r="M153" i="7"/>
  <c r="N153" i="7"/>
  <c r="O153" i="7"/>
  <c r="P153" i="7"/>
  <c r="Q153" i="7"/>
  <c r="R153" i="7"/>
  <c r="S153" i="7"/>
  <c r="T153" i="7"/>
  <c r="U153" i="7"/>
  <c r="V153" i="7"/>
  <c r="W153" i="7"/>
  <c r="X153" i="7"/>
  <c r="Y153" i="7"/>
  <c r="Z153" i="7"/>
  <c r="AA153" i="7"/>
  <c r="AB153" i="7"/>
  <c r="AC153" i="7"/>
  <c r="AD153" i="7"/>
  <c r="AE153" i="7"/>
  <c r="AF153" i="7"/>
  <c r="AG153" i="7"/>
  <c r="AH153" i="7"/>
  <c r="AI153" i="7"/>
  <c r="B154" i="7"/>
  <c r="C154" i="7"/>
  <c r="D154" i="7"/>
  <c r="E154" i="7"/>
  <c r="F154" i="7"/>
  <c r="G154" i="7"/>
  <c r="H154" i="7"/>
  <c r="I154" i="7"/>
  <c r="J154" i="7"/>
  <c r="K154" i="7"/>
  <c r="L154" i="7"/>
  <c r="M154" i="7"/>
  <c r="N154" i="7"/>
  <c r="O154" i="7"/>
  <c r="P154" i="7"/>
  <c r="Q154" i="7"/>
  <c r="R154" i="7"/>
  <c r="S154" i="7"/>
  <c r="T154" i="7"/>
  <c r="U154" i="7"/>
  <c r="V154" i="7"/>
  <c r="W154" i="7"/>
  <c r="X154" i="7"/>
  <c r="Y154" i="7"/>
  <c r="Z154" i="7"/>
  <c r="AA154" i="7"/>
  <c r="AB154" i="7"/>
  <c r="AC154" i="7"/>
  <c r="AD154" i="7"/>
  <c r="AE154" i="7"/>
  <c r="AF154" i="7"/>
  <c r="AG154" i="7"/>
  <c r="AH154" i="7"/>
  <c r="AI154" i="7"/>
  <c r="B155" i="7"/>
  <c r="C155" i="7"/>
  <c r="D155" i="7"/>
  <c r="E155" i="7"/>
  <c r="F155" i="7"/>
  <c r="G155" i="7"/>
  <c r="H155" i="7"/>
  <c r="I155" i="7"/>
  <c r="J155" i="7"/>
  <c r="K155" i="7"/>
  <c r="L155" i="7"/>
  <c r="M155" i="7"/>
  <c r="N155" i="7"/>
  <c r="O155" i="7"/>
  <c r="P155" i="7"/>
  <c r="Q155" i="7"/>
  <c r="R155" i="7"/>
  <c r="S155" i="7"/>
  <c r="T155" i="7"/>
  <c r="U155" i="7"/>
  <c r="V155" i="7"/>
  <c r="W155" i="7"/>
  <c r="X155" i="7"/>
  <c r="Y155" i="7"/>
  <c r="Z155" i="7"/>
  <c r="AA155" i="7"/>
  <c r="AB155" i="7"/>
  <c r="AC155" i="7"/>
  <c r="AD155" i="7"/>
  <c r="AE155" i="7"/>
  <c r="AF155" i="7"/>
  <c r="AG155" i="7"/>
  <c r="AH155" i="7"/>
  <c r="AI155" i="7"/>
  <c r="B156" i="7"/>
  <c r="C156" i="7"/>
  <c r="D156" i="7"/>
  <c r="E156" i="7"/>
  <c r="F156" i="7"/>
  <c r="G156" i="7"/>
  <c r="H156" i="7"/>
  <c r="I156" i="7"/>
  <c r="J156" i="7"/>
  <c r="K156" i="7"/>
  <c r="L156" i="7"/>
  <c r="M156" i="7"/>
  <c r="N156" i="7"/>
  <c r="O156" i="7"/>
  <c r="P156" i="7"/>
  <c r="Q156" i="7"/>
  <c r="R156" i="7"/>
  <c r="S156" i="7"/>
  <c r="T156" i="7"/>
  <c r="U156" i="7"/>
  <c r="V156" i="7"/>
  <c r="W156" i="7"/>
  <c r="X156" i="7"/>
  <c r="Y156" i="7"/>
  <c r="Z156" i="7"/>
  <c r="AA156" i="7"/>
  <c r="AB156" i="7"/>
  <c r="AC156" i="7"/>
  <c r="AD156" i="7"/>
  <c r="AE156" i="7"/>
  <c r="AF156" i="7"/>
  <c r="AG156" i="7"/>
  <c r="AH156" i="7"/>
  <c r="AI156" i="7"/>
  <c r="B157" i="7"/>
  <c r="C157" i="7"/>
  <c r="D157" i="7"/>
  <c r="E157" i="7"/>
  <c r="F157" i="7"/>
  <c r="G157" i="7"/>
  <c r="H157" i="7"/>
  <c r="I157" i="7"/>
  <c r="J157" i="7"/>
  <c r="K157" i="7"/>
  <c r="L157" i="7"/>
  <c r="M157" i="7"/>
  <c r="N157" i="7"/>
  <c r="O157" i="7"/>
  <c r="P157" i="7"/>
  <c r="Q157" i="7"/>
  <c r="R157" i="7"/>
  <c r="S157" i="7"/>
  <c r="T157" i="7"/>
  <c r="U157" i="7"/>
  <c r="V157" i="7"/>
  <c r="W157" i="7"/>
  <c r="X157" i="7"/>
  <c r="Y157" i="7"/>
  <c r="Z157" i="7"/>
  <c r="AA157" i="7"/>
  <c r="AB157" i="7"/>
  <c r="AC157" i="7"/>
  <c r="AD157" i="7"/>
  <c r="AE157" i="7"/>
  <c r="AF157" i="7"/>
  <c r="AG157" i="7"/>
  <c r="AH157" i="7"/>
  <c r="AI157" i="7"/>
  <c r="B158" i="7"/>
  <c r="C158" i="7"/>
  <c r="D158" i="7"/>
  <c r="E158" i="7"/>
  <c r="F158" i="7"/>
  <c r="G158" i="7"/>
  <c r="H158" i="7"/>
  <c r="I158" i="7"/>
  <c r="J158" i="7"/>
  <c r="K158" i="7"/>
  <c r="L158" i="7"/>
  <c r="M158" i="7"/>
  <c r="N158" i="7"/>
  <c r="O158" i="7"/>
  <c r="P158" i="7"/>
  <c r="Q158" i="7"/>
  <c r="R158" i="7"/>
  <c r="S158" i="7"/>
  <c r="T158" i="7"/>
  <c r="U158" i="7"/>
  <c r="V158" i="7"/>
  <c r="W158" i="7"/>
  <c r="X158" i="7"/>
  <c r="Y158" i="7"/>
  <c r="Z158" i="7"/>
  <c r="AA158" i="7"/>
  <c r="AB158" i="7"/>
  <c r="AC158" i="7"/>
  <c r="AD158" i="7"/>
  <c r="AE158" i="7"/>
  <c r="AF158" i="7"/>
  <c r="AG158" i="7"/>
  <c r="AH158" i="7"/>
  <c r="AI158" i="7"/>
  <c r="B159" i="7"/>
  <c r="C159" i="7"/>
  <c r="D159" i="7"/>
  <c r="E159" i="7"/>
  <c r="F159" i="7"/>
  <c r="G159" i="7"/>
  <c r="H159" i="7"/>
  <c r="I159" i="7"/>
  <c r="J159" i="7"/>
  <c r="K159" i="7"/>
  <c r="L159" i="7"/>
  <c r="M159" i="7"/>
  <c r="N159" i="7"/>
  <c r="O159" i="7"/>
  <c r="P159" i="7"/>
  <c r="Q159" i="7"/>
  <c r="R159" i="7"/>
  <c r="S159" i="7"/>
  <c r="T159" i="7"/>
  <c r="U159" i="7"/>
  <c r="V159" i="7"/>
  <c r="W159" i="7"/>
  <c r="X159" i="7"/>
  <c r="Y159" i="7"/>
  <c r="Z159" i="7"/>
  <c r="AA159" i="7"/>
  <c r="AB159" i="7"/>
  <c r="AC159" i="7"/>
  <c r="AD159" i="7"/>
  <c r="AE159" i="7"/>
  <c r="AF159" i="7"/>
  <c r="AG159" i="7"/>
  <c r="AH159" i="7"/>
  <c r="AI159" i="7"/>
  <c r="B160" i="7"/>
  <c r="C160" i="7"/>
  <c r="D160" i="7"/>
  <c r="E160" i="7"/>
  <c r="F160" i="7"/>
  <c r="G160" i="7"/>
  <c r="H160" i="7"/>
  <c r="I160" i="7"/>
  <c r="J160" i="7"/>
  <c r="K160" i="7"/>
  <c r="L160" i="7"/>
  <c r="M160" i="7"/>
  <c r="N160" i="7"/>
  <c r="O160" i="7"/>
  <c r="P160" i="7"/>
  <c r="Q160" i="7"/>
  <c r="R160" i="7"/>
  <c r="S160" i="7"/>
  <c r="T160" i="7"/>
  <c r="U160" i="7"/>
  <c r="V160" i="7"/>
  <c r="W160" i="7"/>
  <c r="X160" i="7"/>
  <c r="Y160" i="7"/>
  <c r="Z160" i="7"/>
  <c r="AA160" i="7"/>
  <c r="AB160" i="7"/>
  <c r="AC160" i="7"/>
  <c r="AD160" i="7"/>
  <c r="AE160" i="7"/>
  <c r="AF160" i="7"/>
  <c r="AG160" i="7"/>
  <c r="AH160" i="7"/>
  <c r="AI160" i="7"/>
  <c r="B161" i="7"/>
  <c r="C161" i="7"/>
  <c r="D161" i="7"/>
  <c r="E161" i="7"/>
  <c r="F161" i="7"/>
  <c r="G161" i="7"/>
  <c r="H161" i="7"/>
  <c r="I161" i="7"/>
  <c r="J161" i="7"/>
  <c r="K161" i="7"/>
  <c r="L161" i="7"/>
  <c r="M161" i="7"/>
  <c r="N161" i="7"/>
  <c r="O161" i="7"/>
  <c r="P161" i="7"/>
  <c r="Q161" i="7"/>
  <c r="R161" i="7"/>
  <c r="S161" i="7"/>
  <c r="T161" i="7"/>
  <c r="U161" i="7"/>
  <c r="V161" i="7"/>
  <c r="W161" i="7"/>
  <c r="X161" i="7"/>
  <c r="Y161" i="7"/>
  <c r="Z161" i="7"/>
  <c r="AA161" i="7"/>
  <c r="AB161" i="7"/>
  <c r="AC161" i="7"/>
  <c r="AD161" i="7"/>
  <c r="AE161" i="7"/>
  <c r="AF161" i="7"/>
  <c r="AG161" i="7"/>
  <c r="AH161" i="7"/>
  <c r="AI161" i="7"/>
  <c r="B162" i="7"/>
  <c r="C162" i="7"/>
  <c r="D162" i="7"/>
  <c r="E162" i="7"/>
  <c r="F162" i="7"/>
  <c r="G162" i="7"/>
  <c r="H162" i="7"/>
  <c r="I162" i="7"/>
  <c r="J162" i="7"/>
  <c r="K162" i="7"/>
  <c r="L162" i="7"/>
  <c r="M162" i="7"/>
  <c r="N162" i="7"/>
  <c r="O162" i="7"/>
  <c r="P162" i="7"/>
  <c r="Q162" i="7"/>
  <c r="R162" i="7"/>
  <c r="S162" i="7"/>
  <c r="T162" i="7"/>
  <c r="U162" i="7"/>
  <c r="V162" i="7"/>
  <c r="W162" i="7"/>
  <c r="X162" i="7"/>
  <c r="Y162" i="7"/>
  <c r="Z162" i="7"/>
  <c r="AA162" i="7"/>
  <c r="AB162" i="7"/>
  <c r="AC162" i="7"/>
  <c r="AD162" i="7"/>
  <c r="AE162" i="7"/>
  <c r="AF162" i="7"/>
  <c r="AG162" i="7"/>
  <c r="AH162" i="7"/>
  <c r="AI162" i="7"/>
  <c r="B163" i="7"/>
  <c r="C163" i="7"/>
  <c r="D163" i="7"/>
  <c r="E163" i="7"/>
  <c r="F163" i="7"/>
  <c r="G163" i="7"/>
  <c r="H163" i="7"/>
  <c r="I163" i="7"/>
  <c r="J163" i="7"/>
  <c r="K163" i="7"/>
  <c r="L163" i="7"/>
  <c r="M163" i="7"/>
  <c r="N163" i="7"/>
  <c r="O163" i="7"/>
  <c r="P163" i="7"/>
  <c r="Q163" i="7"/>
  <c r="R163" i="7"/>
  <c r="S163" i="7"/>
  <c r="T163" i="7"/>
  <c r="U163" i="7"/>
  <c r="V163" i="7"/>
  <c r="W163" i="7"/>
  <c r="X163" i="7"/>
  <c r="Y163" i="7"/>
  <c r="Z163" i="7"/>
  <c r="AA163" i="7"/>
  <c r="AB163" i="7"/>
  <c r="AC163" i="7"/>
  <c r="AD163" i="7"/>
  <c r="AE163" i="7"/>
  <c r="AF163" i="7"/>
  <c r="AG163" i="7"/>
  <c r="AH163" i="7"/>
  <c r="AI163" i="7"/>
  <c r="B164" i="7"/>
  <c r="C164" i="7"/>
  <c r="D164" i="7"/>
  <c r="E164" i="7"/>
  <c r="F164" i="7"/>
  <c r="G164" i="7"/>
  <c r="H164" i="7"/>
  <c r="I164" i="7"/>
  <c r="J164" i="7"/>
  <c r="K164" i="7"/>
  <c r="L164" i="7"/>
  <c r="M164" i="7"/>
  <c r="N164" i="7"/>
  <c r="O164" i="7"/>
  <c r="P164" i="7"/>
  <c r="Q164" i="7"/>
  <c r="R164" i="7"/>
  <c r="S164" i="7"/>
  <c r="T164" i="7"/>
  <c r="U164" i="7"/>
  <c r="V164" i="7"/>
  <c r="W164" i="7"/>
  <c r="X164" i="7"/>
  <c r="Y164" i="7"/>
  <c r="Z164" i="7"/>
  <c r="AA164" i="7"/>
  <c r="AB164" i="7"/>
  <c r="AC164" i="7"/>
  <c r="AD164" i="7"/>
  <c r="AE164" i="7"/>
  <c r="AF164" i="7"/>
  <c r="AG164" i="7"/>
  <c r="AH164" i="7"/>
  <c r="AI164" i="7"/>
  <c r="B165" i="7"/>
  <c r="C165" i="7"/>
  <c r="D165" i="7"/>
  <c r="E165" i="7"/>
  <c r="F165" i="7"/>
  <c r="G165" i="7"/>
  <c r="H165" i="7"/>
  <c r="I165" i="7"/>
  <c r="J165" i="7"/>
  <c r="K165" i="7"/>
  <c r="L165" i="7"/>
  <c r="M165" i="7"/>
  <c r="N165" i="7"/>
  <c r="O165" i="7"/>
  <c r="P165" i="7"/>
  <c r="Q165" i="7"/>
  <c r="R165" i="7"/>
  <c r="S165" i="7"/>
  <c r="T165" i="7"/>
  <c r="U165" i="7"/>
  <c r="V165" i="7"/>
  <c r="W165" i="7"/>
  <c r="X165" i="7"/>
  <c r="Y165" i="7"/>
  <c r="Z165" i="7"/>
  <c r="AA165" i="7"/>
  <c r="AB165" i="7"/>
  <c r="AC165" i="7"/>
  <c r="AD165" i="7"/>
  <c r="AE165" i="7"/>
  <c r="AF165" i="7"/>
  <c r="AG165" i="7"/>
  <c r="AH165" i="7"/>
  <c r="AI165" i="7"/>
  <c r="B166" i="7"/>
  <c r="C166" i="7"/>
  <c r="D166" i="7"/>
  <c r="E166" i="7"/>
  <c r="F166" i="7"/>
  <c r="G166" i="7"/>
  <c r="H166" i="7"/>
  <c r="I166" i="7"/>
  <c r="J166" i="7"/>
  <c r="K166" i="7"/>
  <c r="L166" i="7"/>
  <c r="M166" i="7"/>
  <c r="N166" i="7"/>
  <c r="O166" i="7"/>
  <c r="P166" i="7"/>
  <c r="Q166" i="7"/>
  <c r="R166" i="7"/>
  <c r="S166" i="7"/>
  <c r="T166" i="7"/>
  <c r="U166" i="7"/>
  <c r="V166" i="7"/>
  <c r="W166" i="7"/>
  <c r="X166" i="7"/>
  <c r="Y166" i="7"/>
  <c r="Z166" i="7"/>
  <c r="AA166" i="7"/>
  <c r="AB166" i="7"/>
  <c r="AC166" i="7"/>
  <c r="AD166" i="7"/>
  <c r="AE166" i="7"/>
  <c r="AF166" i="7"/>
  <c r="AG166" i="7"/>
  <c r="AH166" i="7"/>
  <c r="AI166" i="7"/>
  <c r="B167" i="7"/>
  <c r="C167" i="7"/>
  <c r="D167" i="7"/>
  <c r="E167" i="7"/>
  <c r="F167" i="7"/>
  <c r="G167" i="7"/>
  <c r="H167" i="7"/>
  <c r="I167" i="7"/>
  <c r="J167" i="7"/>
  <c r="K167" i="7"/>
  <c r="L167" i="7"/>
  <c r="M167" i="7"/>
  <c r="N167" i="7"/>
  <c r="O167" i="7"/>
  <c r="P167" i="7"/>
  <c r="Q167" i="7"/>
  <c r="R167" i="7"/>
  <c r="S167" i="7"/>
  <c r="T167" i="7"/>
  <c r="U167" i="7"/>
  <c r="V167" i="7"/>
  <c r="W167" i="7"/>
  <c r="X167" i="7"/>
  <c r="Y167" i="7"/>
  <c r="Z167" i="7"/>
  <c r="AA167" i="7"/>
  <c r="AB167" i="7"/>
  <c r="AC167" i="7"/>
  <c r="AD167" i="7"/>
  <c r="AE167" i="7"/>
  <c r="AF167" i="7"/>
  <c r="AG167" i="7"/>
  <c r="AH167" i="7"/>
  <c r="AI167" i="7"/>
  <c r="B168" i="7"/>
  <c r="C168" i="7"/>
  <c r="D168" i="7"/>
  <c r="E168" i="7"/>
  <c r="F168" i="7"/>
  <c r="G168" i="7"/>
  <c r="H168" i="7"/>
  <c r="I168" i="7"/>
  <c r="J168" i="7"/>
  <c r="K168" i="7"/>
  <c r="L168" i="7"/>
  <c r="M168" i="7"/>
  <c r="N168" i="7"/>
  <c r="O168" i="7"/>
  <c r="P168" i="7"/>
  <c r="Q168" i="7"/>
  <c r="R168" i="7"/>
  <c r="S168" i="7"/>
  <c r="T168" i="7"/>
  <c r="U168" i="7"/>
  <c r="V168" i="7"/>
  <c r="W168" i="7"/>
  <c r="X168" i="7"/>
  <c r="Y168" i="7"/>
  <c r="Z168" i="7"/>
  <c r="AA168" i="7"/>
  <c r="AB168" i="7"/>
  <c r="AC168" i="7"/>
  <c r="AD168" i="7"/>
  <c r="AE168" i="7"/>
  <c r="AF168" i="7"/>
  <c r="AG168" i="7"/>
  <c r="AH168" i="7"/>
  <c r="AI168" i="7"/>
  <c r="B169" i="7"/>
  <c r="C169" i="7"/>
  <c r="D169" i="7"/>
  <c r="E169" i="7"/>
  <c r="F169" i="7"/>
  <c r="G169" i="7"/>
  <c r="H169" i="7"/>
  <c r="I169" i="7"/>
  <c r="J169" i="7"/>
  <c r="K169" i="7"/>
  <c r="L169" i="7"/>
  <c r="M169" i="7"/>
  <c r="N169" i="7"/>
  <c r="O169" i="7"/>
  <c r="P169" i="7"/>
  <c r="Q169" i="7"/>
  <c r="R169" i="7"/>
  <c r="S169" i="7"/>
  <c r="T169" i="7"/>
  <c r="U169" i="7"/>
  <c r="V169" i="7"/>
  <c r="W169" i="7"/>
  <c r="X169" i="7"/>
  <c r="Y169" i="7"/>
  <c r="Z169" i="7"/>
  <c r="AA169" i="7"/>
  <c r="AB169" i="7"/>
  <c r="AC169" i="7"/>
  <c r="AD169" i="7"/>
  <c r="AE169" i="7"/>
  <c r="AF169" i="7"/>
  <c r="AG169" i="7"/>
  <c r="AH169" i="7"/>
  <c r="AI169" i="7"/>
  <c r="B170" i="7"/>
  <c r="C170" i="7"/>
  <c r="D170" i="7"/>
  <c r="E170" i="7"/>
  <c r="F170" i="7"/>
  <c r="G170" i="7"/>
  <c r="H170" i="7"/>
  <c r="I170" i="7"/>
  <c r="J170" i="7"/>
  <c r="K170" i="7"/>
  <c r="L170" i="7"/>
  <c r="M170" i="7"/>
  <c r="N170" i="7"/>
  <c r="O170" i="7"/>
  <c r="P170" i="7"/>
  <c r="Q170" i="7"/>
  <c r="R170" i="7"/>
  <c r="S170" i="7"/>
  <c r="T170" i="7"/>
  <c r="U170" i="7"/>
  <c r="V170" i="7"/>
  <c r="W170" i="7"/>
  <c r="X170" i="7"/>
  <c r="Y170" i="7"/>
  <c r="Z170" i="7"/>
  <c r="AA170" i="7"/>
  <c r="AB170" i="7"/>
  <c r="AC170" i="7"/>
  <c r="AD170" i="7"/>
  <c r="AE170" i="7"/>
  <c r="AF170" i="7"/>
  <c r="AG170" i="7"/>
  <c r="AH170" i="7"/>
  <c r="AI170" i="7"/>
  <c r="B171" i="7"/>
  <c r="C171" i="7"/>
  <c r="D171" i="7"/>
  <c r="E171" i="7"/>
  <c r="F171" i="7"/>
  <c r="G171" i="7"/>
  <c r="H171" i="7"/>
  <c r="I171" i="7"/>
  <c r="J171" i="7"/>
  <c r="K171" i="7"/>
  <c r="L171" i="7"/>
  <c r="M171" i="7"/>
  <c r="N171" i="7"/>
  <c r="O171" i="7"/>
  <c r="P171" i="7"/>
  <c r="Q171" i="7"/>
  <c r="R171" i="7"/>
  <c r="S171" i="7"/>
  <c r="T171" i="7"/>
  <c r="U171" i="7"/>
  <c r="V171" i="7"/>
  <c r="W171" i="7"/>
  <c r="X171" i="7"/>
  <c r="Y171" i="7"/>
  <c r="Z171" i="7"/>
  <c r="AA171" i="7"/>
  <c r="AB171" i="7"/>
  <c r="AC171" i="7"/>
  <c r="AD171" i="7"/>
  <c r="AE171" i="7"/>
  <c r="AF171" i="7"/>
  <c r="AG171" i="7"/>
  <c r="AH171" i="7"/>
  <c r="AI171" i="7"/>
  <c r="B172" i="7"/>
  <c r="C172" i="7"/>
  <c r="D172" i="7"/>
  <c r="E172" i="7"/>
  <c r="F172" i="7"/>
  <c r="G172" i="7"/>
  <c r="H172" i="7"/>
  <c r="I172" i="7"/>
  <c r="J172" i="7"/>
  <c r="K172" i="7"/>
  <c r="L172" i="7"/>
  <c r="M172" i="7"/>
  <c r="N172" i="7"/>
  <c r="O172" i="7"/>
  <c r="P172" i="7"/>
  <c r="Q172" i="7"/>
  <c r="R172" i="7"/>
  <c r="S172" i="7"/>
  <c r="T172" i="7"/>
  <c r="U172" i="7"/>
  <c r="V172" i="7"/>
  <c r="W172" i="7"/>
  <c r="X172" i="7"/>
  <c r="Y172" i="7"/>
  <c r="Z172" i="7"/>
  <c r="AA172" i="7"/>
  <c r="AB172" i="7"/>
  <c r="AC172" i="7"/>
  <c r="AD172" i="7"/>
  <c r="AE172" i="7"/>
  <c r="AF172" i="7"/>
  <c r="AG172" i="7"/>
  <c r="AH172" i="7"/>
  <c r="AI172" i="7"/>
  <c r="B173" i="7"/>
  <c r="C173" i="7"/>
  <c r="D173" i="7"/>
  <c r="E173" i="7"/>
  <c r="F173" i="7"/>
  <c r="G173" i="7"/>
  <c r="H173" i="7"/>
  <c r="I173" i="7"/>
  <c r="J173" i="7"/>
  <c r="K173" i="7"/>
  <c r="L173" i="7"/>
  <c r="M173" i="7"/>
  <c r="N173" i="7"/>
  <c r="O173" i="7"/>
  <c r="P173" i="7"/>
  <c r="Q173" i="7"/>
  <c r="R173" i="7"/>
  <c r="S173" i="7"/>
  <c r="T173" i="7"/>
  <c r="U173" i="7"/>
  <c r="V173" i="7"/>
  <c r="W173" i="7"/>
  <c r="X173" i="7"/>
  <c r="Y173" i="7"/>
  <c r="Z173" i="7"/>
  <c r="AA173" i="7"/>
  <c r="AB173" i="7"/>
  <c r="AC173" i="7"/>
  <c r="AD173" i="7"/>
  <c r="AE173" i="7"/>
  <c r="AF173" i="7"/>
  <c r="AG173" i="7"/>
  <c r="AH173" i="7"/>
  <c r="AI173" i="7"/>
  <c r="B174" i="7"/>
  <c r="C174" i="7"/>
  <c r="D174" i="7"/>
  <c r="E174" i="7"/>
  <c r="F174" i="7"/>
  <c r="G174" i="7"/>
  <c r="H174" i="7"/>
  <c r="I174" i="7"/>
  <c r="J174" i="7"/>
  <c r="K174" i="7"/>
  <c r="L174" i="7"/>
  <c r="M174" i="7"/>
  <c r="N174" i="7"/>
  <c r="O174" i="7"/>
  <c r="P174" i="7"/>
  <c r="Q174" i="7"/>
  <c r="R174" i="7"/>
  <c r="S174" i="7"/>
  <c r="T174" i="7"/>
  <c r="U174" i="7"/>
  <c r="V174" i="7"/>
  <c r="W174" i="7"/>
  <c r="X174" i="7"/>
  <c r="Y174" i="7"/>
  <c r="Z174" i="7"/>
  <c r="AA174" i="7"/>
  <c r="AB174" i="7"/>
  <c r="AC174" i="7"/>
  <c r="AD174" i="7"/>
  <c r="AE174" i="7"/>
  <c r="AF174" i="7"/>
  <c r="AG174" i="7"/>
  <c r="AH174" i="7"/>
  <c r="AI174" i="7"/>
  <c r="B175" i="7"/>
  <c r="C175" i="7"/>
  <c r="D175" i="7"/>
  <c r="E175" i="7"/>
  <c r="F175" i="7"/>
  <c r="G175" i="7"/>
  <c r="H175" i="7"/>
  <c r="I175" i="7"/>
  <c r="J175" i="7"/>
  <c r="K175" i="7"/>
  <c r="L175" i="7"/>
  <c r="M175" i="7"/>
  <c r="N175" i="7"/>
  <c r="O175" i="7"/>
  <c r="P175" i="7"/>
  <c r="Q175" i="7"/>
  <c r="R175" i="7"/>
  <c r="S175" i="7"/>
  <c r="T175" i="7"/>
  <c r="U175" i="7"/>
  <c r="V175" i="7"/>
  <c r="W175" i="7"/>
  <c r="X175" i="7"/>
  <c r="Y175" i="7"/>
  <c r="Z175" i="7"/>
  <c r="AA175" i="7"/>
  <c r="AB175" i="7"/>
  <c r="AC175" i="7"/>
  <c r="AD175" i="7"/>
  <c r="AE175" i="7"/>
  <c r="AF175" i="7"/>
  <c r="AG175" i="7"/>
  <c r="AH175" i="7"/>
  <c r="AI175" i="7"/>
  <c r="B176" i="7"/>
  <c r="C176" i="7"/>
  <c r="D176" i="7"/>
  <c r="E176" i="7"/>
  <c r="F176" i="7"/>
  <c r="G176" i="7"/>
  <c r="H176" i="7"/>
  <c r="I176" i="7"/>
  <c r="J176" i="7"/>
  <c r="K176" i="7"/>
  <c r="L176" i="7"/>
  <c r="M176" i="7"/>
  <c r="N176" i="7"/>
  <c r="O176" i="7"/>
  <c r="P176" i="7"/>
  <c r="Q176" i="7"/>
  <c r="R176" i="7"/>
  <c r="S176" i="7"/>
  <c r="T176" i="7"/>
  <c r="U176" i="7"/>
  <c r="V176" i="7"/>
  <c r="W176" i="7"/>
  <c r="X176" i="7"/>
  <c r="Y176" i="7"/>
  <c r="Z176" i="7"/>
  <c r="AA176" i="7"/>
  <c r="AB176" i="7"/>
  <c r="AC176" i="7"/>
  <c r="AD176" i="7"/>
  <c r="AE176" i="7"/>
  <c r="AF176" i="7"/>
  <c r="AG176" i="7"/>
  <c r="AH176" i="7"/>
  <c r="AI176" i="7"/>
  <c r="B177" i="7"/>
  <c r="C177" i="7"/>
  <c r="D177" i="7"/>
  <c r="E177" i="7"/>
  <c r="F177" i="7"/>
  <c r="G177" i="7"/>
  <c r="H177" i="7"/>
  <c r="I177" i="7"/>
  <c r="J177" i="7"/>
  <c r="K177" i="7"/>
  <c r="L177" i="7"/>
  <c r="M177" i="7"/>
  <c r="N177" i="7"/>
  <c r="O177" i="7"/>
  <c r="P177" i="7"/>
  <c r="Q177" i="7"/>
  <c r="R177" i="7"/>
  <c r="S177" i="7"/>
  <c r="T177" i="7"/>
  <c r="U177" i="7"/>
  <c r="V177" i="7"/>
  <c r="W177" i="7"/>
  <c r="X177" i="7"/>
  <c r="Y177" i="7"/>
  <c r="Z177" i="7"/>
  <c r="AA177" i="7"/>
  <c r="AB177" i="7"/>
  <c r="AC177" i="7"/>
  <c r="AD177" i="7"/>
  <c r="AE177" i="7"/>
  <c r="AF177" i="7"/>
  <c r="AG177" i="7"/>
  <c r="AH177" i="7"/>
  <c r="AI177" i="7"/>
  <c r="B178" i="7"/>
  <c r="C178" i="7"/>
  <c r="D178" i="7"/>
  <c r="E178" i="7"/>
  <c r="F178" i="7"/>
  <c r="G178" i="7"/>
  <c r="H178" i="7"/>
  <c r="I178" i="7"/>
  <c r="J178" i="7"/>
  <c r="K178" i="7"/>
  <c r="L178" i="7"/>
  <c r="M178" i="7"/>
  <c r="N178" i="7"/>
  <c r="O178" i="7"/>
  <c r="P178" i="7"/>
  <c r="Q178" i="7"/>
  <c r="R178" i="7"/>
  <c r="S178" i="7"/>
  <c r="T178" i="7"/>
  <c r="U178" i="7"/>
  <c r="V178" i="7"/>
  <c r="W178" i="7"/>
  <c r="X178" i="7"/>
  <c r="Y178" i="7"/>
  <c r="Z178" i="7"/>
  <c r="AA178" i="7"/>
  <c r="AB178" i="7"/>
  <c r="AC178" i="7"/>
  <c r="AD178" i="7"/>
  <c r="AE178" i="7"/>
  <c r="AF178" i="7"/>
  <c r="AG178" i="7"/>
  <c r="AH178" i="7"/>
  <c r="AI178" i="7"/>
  <c r="B179" i="7"/>
  <c r="C179" i="7"/>
  <c r="D179" i="7"/>
  <c r="E179" i="7"/>
  <c r="F179" i="7"/>
  <c r="G179" i="7"/>
  <c r="H179" i="7"/>
  <c r="I179" i="7"/>
  <c r="J179" i="7"/>
  <c r="K179" i="7"/>
  <c r="L179" i="7"/>
  <c r="M179" i="7"/>
  <c r="N179" i="7"/>
  <c r="O179" i="7"/>
  <c r="P179" i="7"/>
  <c r="Q179" i="7"/>
  <c r="R179" i="7"/>
  <c r="S179" i="7"/>
  <c r="T179" i="7"/>
  <c r="U179" i="7"/>
  <c r="V179" i="7"/>
  <c r="W179" i="7"/>
  <c r="X179" i="7"/>
  <c r="Y179" i="7"/>
  <c r="Z179" i="7"/>
  <c r="AA179" i="7"/>
  <c r="AB179" i="7"/>
  <c r="AC179" i="7"/>
  <c r="AD179" i="7"/>
  <c r="AE179" i="7"/>
  <c r="AF179" i="7"/>
  <c r="AG179" i="7"/>
  <c r="AH179" i="7"/>
  <c r="AI179" i="7"/>
  <c r="B180" i="7"/>
  <c r="C180" i="7"/>
  <c r="D180" i="7"/>
  <c r="E180" i="7"/>
  <c r="F180" i="7"/>
  <c r="G180" i="7"/>
  <c r="H180" i="7"/>
  <c r="I180" i="7"/>
  <c r="J180" i="7"/>
  <c r="K180" i="7"/>
  <c r="L180" i="7"/>
  <c r="M180" i="7"/>
  <c r="N180" i="7"/>
  <c r="O180" i="7"/>
  <c r="P180" i="7"/>
  <c r="Q180" i="7"/>
  <c r="R180" i="7"/>
  <c r="S180" i="7"/>
  <c r="T180" i="7"/>
  <c r="U180" i="7"/>
  <c r="V180" i="7"/>
  <c r="W180" i="7"/>
  <c r="X180" i="7"/>
  <c r="Y180" i="7"/>
  <c r="Z180" i="7"/>
  <c r="AA180" i="7"/>
  <c r="AB180" i="7"/>
  <c r="AC180" i="7"/>
  <c r="AD180" i="7"/>
  <c r="AE180" i="7"/>
  <c r="AF180" i="7"/>
  <c r="AG180" i="7"/>
  <c r="AH180" i="7"/>
  <c r="AI180" i="7"/>
  <c r="B181" i="7"/>
  <c r="C181" i="7"/>
  <c r="D181" i="7"/>
  <c r="E181" i="7"/>
  <c r="F181" i="7"/>
  <c r="G181" i="7"/>
  <c r="H181" i="7"/>
  <c r="I181" i="7"/>
  <c r="J181" i="7"/>
  <c r="K181" i="7"/>
  <c r="L181" i="7"/>
  <c r="M181" i="7"/>
  <c r="N181" i="7"/>
  <c r="O181" i="7"/>
  <c r="P181" i="7"/>
  <c r="Q181" i="7"/>
  <c r="R181" i="7"/>
  <c r="S181" i="7"/>
  <c r="T181" i="7"/>
  <c r="U181" i="7"/>
  <c r="V181" i="7"/>
  <c r="W181" i="7"/>
  <c r="X181" i="7"/>
  <c r="Y181" i="7"/>
  <c r="Z181" i="7"/>
  <c r="AA181" i="7"/>
  <c r="AB181" i="7"/>
  <c r="AC181" i="7"/>
  <c r="AD181" i="7"/>
  <c r="AE181" i="7"/>
  <c r="AF181" i="7"/>
  <c r="AG181" i="7"/>
  <c r="AH181" i="7"/>
  <c r="AI181" i="7"/>
  <c r="B182" i="7"/>
  <c r="C182" i="7"/>
  <c r="D182" i="7"/>
  <c r="E182" i="7"/>
  <c r="F182" i="7"/>
  <c r="G182" i="7"/>
  <c r="H182" i="7"/>
  <c r="I182" i="7"/>
  <c r="J182" i="7"/>
  <c r="K182" i="7"/>
  <c r="L182" i="7"/>
  <c r="M182" i="7"/>
  <c r="N182" i="7"/>
  <c r="O182" i="7"/>
  <c r="P182" i="7"/>
  <c r="Q182" i="7"/>
  <c r="R182" i="7"/>
  <c r="S182" i="7"/>
  <c r="T182" i="7"/>
  <c r="U182" i="7"/>
  <c r="V182" i="7"/>
  <c r="W182" i="7"/>
  <c r="X182" i="7"/>
  <c r="Y182" i="7"/>
  <c r="Z182" i="7"/>
  <c r="AA182" i="7"/>
  <c r="AB182" i="7"/>
  <c r="AC182" i="7"/>
  <c r="AD182" i="7"/>
  <c r="AE182" i="7"/>
  <c r="AF182" i="7"/>
  <c r="AG182" i="7"/>
  <c r="AH182" i="7"/>
  <c r="AI182" i="7"/>
  <c r="B183" i="7"/>
  <c r="C183" i="7"/>
  <c r="D183" i="7"/>
  <c r="E183" i="7"/>
  <c r="F183" i="7"/>
  <c r="G183" i="7"/>
  <c r="H183" i="7"/>
  <c r="I183" i="7"/>
  <c r="J183" i="7"/>
  <c r="K183" i="7"/>
  <c r="L183" i="7"/>
  <c r="M183" i="7"/>
  <c r="N183" i="7"/>
  <c r="O183" i="7"/>
  <c r="P183" i="7"/>
  <c r="Q183" i="7"/>
  <c r="R183" i="7"/>
  <c r="S183" i="7"/>
  <c r="T183" i="7"/>
  <c r="U183" i="7"/>
  <c r="V183" i="7"/>
  <c r="W183" i="7"/>
  <c r="X183" i="7"/>
  <c r="Y183" i="7"/>
  <c r="Z183" i="7"/>
  <c r="AA183" i="7"/>
  <c r="AB183" i="7"/>
  <c r="AC183" i="7"/>
  <c r="AD183" i="7"/>
  <c r="AE183" i="7"/>
  <c r="AF183" i="7"/>
  <c r="AG183" i="7"/>
  <c r="AH183" i="7"/>
  <c r="AI183" i="7"/>
  <c r="B184" i="7"/>
  <c r="C184" i="7"/>
  <c r="D184" i="7"/>
  <c r="E184" i="7"/>
  <c r="F184" i="7"/>
  <c r="G184" i="7"/>
  <c r="H184" i="7"/>
  <c r="I184" i="7"/>
  <c r="J184" i="7"/>
  <c r="K184" i="7"/>
  <c r="L184" i="7"/>
  <c r="M184" i="7"/>
  <c r="N184" i="7"/>
  <c r="O184" i="7"/>
  <c r="P184" i="7"/>
  <c r="Q184" i="7"/>
  <c r="R184" i="7"/>
  <c r="S184" i="7"/>
  <c r="T184" i="7"/>
  <c r="U184" i="7"/>
  <c r="V184" i="7"/>
  <c r="W184" i="7"/>
  <c r="X184" i="7"/>
  <c r="Y184" i="7"/>
  <c r="Z184" i="7"/>
  <c r="AA184" i="7"/>
  <c r="AB184" i="7"/>
  <c r="AC184" i="7"/>
  <c r="AD184" i="7"/>
  <c r="AE184" i="7"/>
  <c r="AF184" i="7"/>
  <c r="AG184" i="7"/>
  <c r="AH184" i="7"/>
  <c r="AI184" i="7"/>
  <c r="B185" i="7"/>
  <c r="C185" i="7"/>
  <c r="D185" i="7"/>
  <c r="E185" i="7"/>
  <c r="F185" i="7"/>
  <c r="G185" i="7"/>
  <c r="H185" i="7"/>
  <c r="I185" i="7"/>
  <c r="J185" i="7"/>
  <c r="K185" i="7"/>
  <c r="L185" i="7"/>
  <c r="M185" i="7"/>
  <c r="N185" i="7"/>
  <c r="O185" i="7"/>
  <c r="P185" i="7"/>
  <c r="Q185" i="7"/>
  <c r="R185" i="7"/>
  <c r="S185" i="7"/>
  <c r="T185" i="7"/>
  <c r="U185" i="7"/>
  <c r="V185" i="7"/>
  <c r="W185" i="7"/>
  <c r="X185" i="7"/>
  <c r="Y185" i="7"/>
  <c r="Z185" i="7"/>
  <c r="AA185" i="7"/>
  <c r="AB185" i="7"/>
  <c r="AC185" i="7"/>
  <c r="AD185" i="7"/>
  <c r="AE185" i="7"/>
  <c r="AF185" i="7"/>
  <c r="AG185" i="7"/>
  <c r="AH185" i="7"/>
  <c r="AI185" i="7"/>
  <c r="B186" i="7"/>
  <c r="C186" i="7"/>
  <c r="D186" i="7"/>
  <c r="E186" i="7"/>
  <c r="F186" i="7"/>
  <c r="G186" i="7"/>
  <c r="H186" i="7"/>
  <c r="I186" i="7"/>
  <c r="J186" i="7"/>
  <c r="K186" i="7"/>
  <c r="L186" i="7"/>
  <c r="M186" i="7"/>
  <c r="N186" i="7"/>
  <c r="O186" i="7"/>
  <c r="P186" i="7"/>
  <c r="Q186" i="7"/>
  <c r="R186" i="7"/>
  <c r="S186" i="7"/>
  <c r="T186" i="7"/>
  <c r="U186" i="7"/>
  <c r="V186" i="7"/>
  <c r="W186" i="7"/>
  <c r="X186" i="7"/>
  <c r="Y186" i="7"/>
  <c r="Z186" i="7"/>
  <c r="AA186" i="7"/>
  <c r="AB186" i="7"/>
  <c r="AC186" i="7"/>
  <c r="AD186" i="7"/>
  <c r="AE186" i="7"/>
  <c r="AF186" i="7"/>
  <c r="AG186" i="7"/>
  <c r="AH186" i="7"/>
  <c r="AI186" i="7"/>
  <c r="B187" i="7"/>
  <c r="C187" i="7"/>
  <c r="D187" i="7"/>
  <c r="E187" i="7"/>
  <c r="F187" i="7"/>
  <c r="G187" i="7"/>
  <c r="H187" i="7"/>
  <c r="I187" i="7"/>
  <c r="J187" i="7"/>
  <c r="K187" i="7"/>
  <c r="L187" i="7"/>
  <c r="M187" i="7"/>
  <c r="N187" i="7"/>
  <c r="O187" i="7"/>
  <c r="P187" i="7"/>
  <c r="Q187" i="7"/>
  <c r="R187" i="7"/>
  <c r="S187" i="7"/>
  <c r="T187" i="7"/>
  <c r="U187" i="7"/>
  <c r="V187" i="7"/>
  <c r="W187" i="7"/>
  <c r="X187" i="7"/>
  <c r="Y187" i="7"/>
  <c r="Z187" i="7"/>
  <c r="AA187" i="7"/>
  <c r="AB187" i="7"/>
  <c r="AC187" i="7"/>
  <c r="AD187" i="7"/>
  <c r="AE187" i="7"/>
  <c r="AF187" i="7"/>
  <c r="AG187" i="7"/>
  <c r="AH187" i="7"/>
  <c r="AI187" i="7"/>
  <c r="B188" i="7"/>
  <c r="C188" i="7"/>
  <c r="D188" i="7"/>
  <c r="E188" i="7"/>
  <c r="F188" i="7"/>
  <c r="G188" i="7"/>
  <c r="H188" i="7"/>
  <c r="I188" i="7"/>
  <c r="J188" i="7"/>
  <c r="K188" i="7"/>
  <c r="L188" i="7"/>
  <c r="M188" i="7"/>
  <c r="N188" i="7"/>
  <c r="O188" i="7"/>
  <c r="P188" i="7"/>
  <c r="Q188" i="7"/>
  <c r="R188" i="7"/>
  <c r="S188" i="7"/>
  <c r="T188" i="7"/>
  <c r="U188" i="7"/>
  <c r="V188" i="7"/>
  <c r="W188" i="7"/>
  <c r="X188" i="7"/>
  <c r="Y188" i="7"/>
  <c r="Z188" i="7"/>
  <c r="AA188" i="7"/>
  <c r="AB188" i="7"/>
  <c r="AC188" i="7"/>
  <c r="AD188" i="7"/>
  <c r="AE188" i="7"/>
  <c r="AF188" i="7"/>
  <c r="AG188" i="7"/>
  <c r="AH188" i="7"/>
  <c r="AI188" i="7"/>
  <c r="B189" i="7"/>
  <c r="C189" i="7"/>
  <c r="D189" i="7"/>
  <c r="E189" i="7"/>
  <c r="F189" i="7"/>
  <c r="G189" i="7"/>
  <c r="H189" i="7"/>
  <c r="I189" i="7"/>
  <c r="J189" i="7"/>
  <c r="K189" i="7"/>
  <c r="L189" i="7"/>
  <c r="M189" i="7"/>
  <c r="N189" i="7"/>
  <c r="O189" i="7"/>
  <c r="P189" i="7"/>
  <c r="Q189" i="7"/>
  <c r="R189" i="7"/>
  <c r="S189" i="7"/>
  <c r="T189" i="7"/>
  <c r="U189" i="7"/>
  <c r="V189" i="7"/>
  <c r="W189" i="7"/>
  <c r="X189" i="7"/>
  <c r="Y189" i="7"/>
  <c r="Z189" i="7"/>
  <c r="AA189" i="7"/>
  <c r="AB189" i="7"/>
  <c r="AC189" i="7"/>
  <c r="AD189" i="7"/>
  <c r="AE189" i="7"/>
  <c r="AF189" i="7"/>
  <c r="AG189" i="7"/>
  <c r="AH189" i="7"/>
  <c r="AI189" i="7"/>
  <c r="B190" i="7"/>
  <c r="C190" i="7"/>
  <c r="D190" i="7"/>
  <c r="E190" i="7"/>
  <c r="F190" i="7"/>
  <c r="G190" i="7"/>
  <c r="H190" i="7"/>
  <c r="I190" i="7"/>
  <c r="J190" i="7"/>
  <c r="K190" i="7"/>
  <c r="L190" i="7"/>
  <c r="M190" i="7"/>
  <c r="N190" i="7"/>
  <c r="O190" i="7"/>
  <c r="P190" i="7"/>
  <c r="Q190" i="7"/>
  <c r="R190" i="7"/>
  <c r="S190" i="7"/>
  <c r="T190" i="7"/>
  <c r="U190" i="7"/>
  <c r="V190" i="7"/>
  <c r="W190" i="7"/>
  <c r="X190" i="7"/>
  <c r="Y190" i="7"/>
  <c r="Z190" i="7"/>
  <c r="AA190" i="7"/>
  <c r="AB190" i="7"/>
  <c r="AC190" i="7"/>
  <c r="AD190" i="7"/>
  <c r="AE190" i="7"/>
  <c r="AF190" i="7"/>
  <c r="AG190" i="7"/>
  <c r="AH190" i="7"/>
  <c r="AI190" i="7"/>
  <c r="B191" i="7"/>
  <c r="C191" i="7"/>
  <c r="D191" i="7"/>
  <c r="E191" i="7"/>
  <c r="F191" i="7"/>
  <c r="G191" i="7"/>
  <c r="H191" i="7"/>
  <c r="I191" i="7"/>
  <c r="J191" i="7"/>
  <c r="K191" i="7"/>
  <c r="L191" i="7"/>
  <c r="M191" i="7"/>
  <c r="N191" i="7"/>
  <c r="O191" i="7"/>
  <c r="P191" i="7"/>
  <c r="Q191" i="7"/>
  <c r="R191" i="7"/>
  <c r="S191" i="7"/>
  <c r="T191" i="7"/>
  <c r="U191" i="7"/>
  <c r="V191" i="7"/>
  <c r="W191" i="7"/>
  <c r="X191" i="7"/>
  <c r="Y191" i="7"/>
  <c r="Z191" i="7"/>
  <c r="AA191" i="7"/>
  <c r="AB191" i="7"/>
  <c r="AC191" i="7"/>
  <c r="AD191" i="7"/>
  <c r="AE191" i="7"/>
  <c r="AF191" i="7"/>
  <c r="AG191" i="7"/>
  <c r="AH191" i="7"/>
  <c r="AI191" i="7"/>
  <c r="B192" i="7"/>
  <c r="C192" i="7"/>
  <c r="D192" i="7"/>
  <c r="E192" i="7"/>
  <c r="F192" i="7"/>
  <c r="G192" i="7"/>
  <c r="H192" i="7"/>
  <c r="I192" i="7"/>
  <c r="J192" i="7"/>
  <c r="K192" i="7"/>
  <c r="L192" i="7"/>
  <c r="M192" i="7"/>
  <c r="N192" i="7"/>
  <c r="O192" i="7"/>
  <c r="P192" i="7"/>
  <c r="Q192" i="7"/>
  <c r="R192" i="7"/>
  <c r="S192" i="7"/>
  <c r="T192" i="7"/>
  <c r="U192" i="7"/>
  <c r="V192" i="7"/>
  <c r="W192" i="7"/>
  <c r="X192" i="7"/>
  <c r="Y192" i="7"/>
  <c r="Z192" i="7"/>
  <c r="AA192" i="7"/>
  <c r="AB192" i="7"/>
  <c r="AC192" i="7"/>
  <c r="AD192" i="7"/>
  <c r="AE192" i="7"/>
  <c r="AF192" i="7"/>
  <c r="AG192" i="7"/>
  <c r="AH192" i="7"/>
  <c r="AI192" i="7"/>
  <c r="B193" i="7"/>
  <c r="C193" i="7"/>
  <c r="D193" i="7"/>
  <c r="E193" i="7"/>
  <c r="F193" i="7"/>
  <c r="G193" i="7"/>
  <c r="H193" i="7"/>
  <c r="I193" i="7"/>
  <c r="J193" i="7"/>
  <c r="K193" i="7"/>
  <c r="L193" i="7"/>
  <c r="M193" i="7"/>
  <c r="N193" i="7"/>
  <c r="O193" i="7"/>
  <c r="P193" i="7"/>
  <c r="Q193" i="7"/>
  <c r="R193" i="7"/>
  <c r="S193" i="7"/>
  <c r="T193" i="7"/>
  <c r="U193" i="7"/>
  <c r="V193" i="7"/>
  <c r="W193" i="7"/>
  <c r="X193" i="7"/>
  <c r="Y193" i="7"/>
  <c r="Z193" i="7"/>
  <c r="AA193" i="7"/>
  <c r="AB193" i="7"/>
  <c r="AC193" i="7"/>
  <c r="AD193" i="7"/>
  <c r="AE193" i="7"/>
  <c r="AF193" i="7"/>
  <c r="AG193" i="7"/>
  <c r="AH193" i="7"/>
  <c r="AI193" i="7"/>
  <c r="B194" i="7"/>
  <c r="C194" i="7"/>
  <c r="D194" i="7"/>
  <c r="E194" i="7"/>
  <c r="F194" i="7"/>
  <c r="G194" i="7"/>
  <c r="H194" i="7"/>
  <c r="I194" i="7"/>
  <c r="J194" i="7"/>
  <c r="K194" i="7"/>
  <c r="L194" i="7"/>
  <c r="M194" i="7"/>
  <c r="N194" i="7"/>
  <c r="O194" i="7"/>
  <c r="P194" i="7"/>
  <c r="Q194" i="7"/>
  <c r="R194" i="7"/>
  <c r="S194" i="7"/>
  <c r="T194" i="7"/>
  <c r="U194" i="7"/>
  <c r="V194" i="7"/>
  <c r="W194" i="7"/>
  <c r="X194" i="7"/>
  <c r="Y194" i="7"/>
  <c r="Z194" i="7"/>
  <c r="AA194" i="7"/>
  <c r="AB194" i="7"/>
  <c r="AC194" i="7"/>
  <c r="AD194" i="7"/>
  <c r="AE194" i="7"/>
  <c r="AF194" i="7"/>
  <c r="AG194" i="7"/>
  <c r="AH194" i="7"/>
  <c r="AI194" i="7"/>
  <c r="B195" i="7"/>
  <c r="C195" i="7"/>
  <c r="D195" i="7"/>
  <c r="E195" i="7"/>
  <c r="F195" i="7"/>
  <c r="G195" i="7"/>
  <c r="H195" i="7"/>
  <c r="I195" i="7"/>
  <c r="J195" i="7"/>
  <c r="K195" i="7"/>
  <c r="L195" i="7"/>
  <c r="M195" i="7"/>
  <c r="N195" i="7"/>
  <c r="O195" i="7"/>
  <c r="P195" i="7"/>
  <c r="Q195" i="7"/>
  <c r="R195" i="7"/>
  <c r="S195" i="7"/>
  <c r="T195" i="7"/>
  <c r="U195" i="7"/>
  <c r="V195" i="7"/>
  <c r="W195" i="7"/>
  <c r="X195" i="7"/>
  <c r="Y195" i="7"/>
  <c r="Z195" i="7"/>
  <c r="AA195" i="7"/>
  <c r="AB195" i="7"/>
  <c r="AC195" i="7"/>
  <c r="AD195" i="7"/>
  <c r="AE195" i="7"/>
  <c r="AF195" i="7"/>
  <c r="AG195" i="7"/>
  <c r="AH195" i="7"/>
  <c r="AI195" i="7"/>
  <c r="B196" i="7"/>
  <c r="C196" i="7"/>
  <c r="D196" i="7"/>
  <c r="E196" i="7"/>
  <c r="F196" i="7"/>
  <c r="G196" i="7"/>
  <c r="H196" i="7"/>
  <c r="I196" i="7"/>
  <c r="J196" i="7"/>
  <c r="K196" i="7"/>
  <c r="L196" i="7"/>
  <c r="M196" i="7"/>
  <c r="N196" i="7"/>
  <c r="O196" i="7"/>
  <c r="P196" i="7"/>
  <c r="Q196" i="7"/>
  <c r="R196" i="7"/>
  <c r="S196" i="7"/>
  <c r="T196" i="7"/>
  <c r="U196" i="7"/>
  <c r="V196" i="7"/>
  <c r="W196" i="7"/>
  <c r="X196" i="7"/>
  <c r="Y196" i="7"/>
  <c r="Z196" i="7"/>
  <c r="AA196" i="7"/>
  <c r="AB196" i="7"/>
  <c r="AC196" i="7"/>
  <c r="AD196" i="7"/>
  <c r="AE196" i="7"/>
  <c r="AF196" i="7"/>
  <c r="AG196" i="7"/>
  <c r="AH196" i="7"/>
  <c r="AI196" i="7"/>
  <c r="B197" i="7"/>
  <c r="C197" i="7"/>
  <c r="D197" i="7"/>
  <c r="E197" i="7"/>
  <c r="F197" i="7"/>
  <c r="G197" i="7"/>
  <c r="H197" i="7"/>
  <c r="I197" i="7"/>
  <c r="J197" i="7"/>
  <c r="K197" i="7"/>
  <c r="L197" i="7"/>
  <c r="M197" i="7"/>
  <c r="N197" i="7"/>
  <c r="O197" i="7"/>
  <c r="P197" i="7"/>
  <c r="Q197" i="7"/>
  <c r="R197" i="7"/>
  <c r="S197" i="7"/>
  <c r="T197" i="7"/>
  <c r="U197" i="7"/>
  <c r="V197" i="7"/>
  <c r="W197" i="7"/>
  <c r="X197" i="7"/>
  <c r="Y197" i="7"/>
  <c r="Z197" i="7"/>
  <c r="AA197" i="7"/>
  <c r="AB197" i="7"/>
  <c r="AC197" i="7"/>
  <c r="AD197" i="7"/>
  <c r="AE197" i="7"/>
  <c r="AF197" i="7"/>
  <c r="AG197" i="7"/>
  <c r="AH197" i="7"/>
  <c r="AI197" i="7"/>
  <c r="B198" i="7"/>
  <c r="C198" i="7"/>
  <c r="D198" i="7"/>
  <c r="E198" i="7"/>
  <c r="F198" i="7"/>
  <c r="G198" i="7"/>
  <c r="H198" i="7"/>
  <c r="I198" i="7"/>
  <c r="J198" i="7"/>
  <c r="K198" i="7"/>
  <c r="L198" i="7"/>
  <c r="M198" i="7"/>
  <c r="N198" i="7"/>
  <c r="O198" i="7"/>
  <c r="P198" i="7"/>
  <c r="Q198" i="7"/>
  <c r="R198" i="7"/>
  <c r="S198" i="7"/>
  <c r="T198" i="7"/>
  <c r="U198" i="7"/>
  <c r="V198" i="7"/>
  <c r="W198" i="7"/>
  <c r="X198" i="7"/>
  <c r="Y198" i="7"/>
  <c r="Z198" i="7"/>
  <c r="AA198" i="7"/>
  <c r="AB198" i="7"/>
  <c r="AC198" i="7"/>
  <c r="AD198" i="7"/>
  <c r="AE198" i="7"/>
  <c r="AF198" i="7"/>
  <c r="AG198" i="7"/>
  <c r="AH198" i="7"/>
  <c r="AI198" i="7"/>
  <c r="B199" i="7"/>
  <c r="C199" i="7"/>
  <c r="D199" i="7"/>
  <c r="E199" i="7"/>
  <c r="F199" i="7"/>
  <c r="G199" i="7"/>
  <c r="H199" i="7"/>
  <c r="I199" i="7"/>
  <c r="J199" i="7"/>
  <c r="K199" i="7"/>
  <c r="L199" i="7"/>
  <c r="M199" i="7"/>
  <c r="N199" i="7"/>
  <c r="O199" i="7"/>
  <c r="P199" i="7"/>
  <c r="Q199" i="7"/>
  <c r="R199" i="7"/>
  <c r="S199" i="7"/>
  <c r="T199" i="7"/>
  <c r="U199" i="7"/>
  <c r="V199" i="7"/>
  <c r="W199" i="7"/>
  <c r="X199" i="7"/>
  <c r="Y199" i="7"/>
  <c r="Z199" i="7"/>
  <c r="AA199" i="7"/>
  <c r="AB199" i="7"/>
  <c r="AC199" i="7"/>
  <c r="AD199" i="7"/>
  <c r="AE199" i="7"/>
  <c r="AF199" i="7"/>
  <c r="AG199" i="7"/>
  <c r="AH199" i="7"/>
  <c r="AI199" i="7"/>
  <c r="B200" i="7"/>
  <c r="C200" i="7"/>
  <c r="D200" i="7"/>
  <c r="E200" i="7"/>
  <c r="F200" i="7"/>
  <c r="G200" i="7"/>
  <c r="H200" i="7"/>
  <c r="I200" i="7"/>
  <c r="J200" i="7"/>
  <c r="K200" i="7"/>
  <c r="L200" i="7"/>
  <c r="M200" i="7"/>
  <c r="N200" i="7"/>
  <c r="O200" i="7"/>
  <c r="P200" i="7"/>
  <c r="Q200" i="7"/>
  <c r="R200" i="7"/>
  <c r="S200" i="7"/>
  <c r="T200" i="7"/>
  <c r="U200" i="7"/>
  <c r="V200" i="7"/>
  <c r="W200" i="7"/>
  <c r="X200" i="7"/>
  <c r="Y200" i="7"/>
  <c r="Z200" i="7"/>
  <c r="AA200" i="7"/>
  <c r="AB200" i="7"/>
  <c r="AC200" i="7"/>
  <c r="AD200" i="7"/>
  <c r="AE200" i="7"/>
  <c r="AF200" i="7"/>
  <c r="AG200" i="7"/>
  <c r="AH200" i="7"/>
  <c r="AI200" i="7"/>
  <c r="B201" i="7"/>
  <c r="C201" i="7"/>
  <c r="D201" i="7"/>
  <c r="E201" i="7"/>
  <c r="F201" i="7"/>
  <c r="G201" i="7"/>
  <c r="H201" i="7"/>
  <c r="I201" i="7"/>
  <c r="J201" i="7"/>
  <c r="K201" i="7"/>
  <c r="L201" i="7"/>
  <c r="M201" i="7"/>
  <c r="N201" i="7"/>
  <c r="O201" i="7"/>
  <c r="P201" i="7"/>
  <c r="Q201" i="7"/>
  <c r="R201" i="7"/>
  <c r="S201" i="7"/>
  <c r="T201" i="7"/>
  <c r="U201" i="7"/>
  <c r="V201" i="7"/>
  <c r="W201" i="7"/>
  <c r="X201" i="7"/>
  <c r="Y201" i="7"/>
  <c r="Z201" i="7"/>
  <c r="AA201" i="7"/>
  <c r="AB201" i="7"/>
  <c r="AC201" i="7"/>
  <c r="AD201" i="7"/>
  <c r="AE201" i="7"/>
  <c r="AF201" i="7"/>
  <c r="AG201" i="7"/>
  <c r="AH201" i="7"/>
  <c r="AI201" i="7"/>
  <c r="B202" i="7"/>
  <c r="C202" i="7"/>
  <c r="D202" i="7"/>
  <c r="E202" i="7"/>
  <c r="F202" i="7"/>
  <c r="G202" i="7"/>
  <c r="H202" i="7"/>
  <c r="I202" i="7"/>
  <c r="J202" i="7"/>
  <c r="K202" i="7"/>
  <c r="L202" i="7"/>
  <c r="M202" i="7"/>
  <c r="N202" i="7"/>
  <c r="O202" i="7"/>
  <c r="P202" i="7"/>
  <c r="Q202" i="7"/>
  <c r="R202" i="7"/>
  <c r="S202" i="7"/>
  <c r="T202" i="7"/>
  <c r="U202" i="7"/>
  <c r="V202" i="7"/>
  <c r="W202" i="7"/>
  <c r="X202" i="7"/>
  <c r="Y202" i="7"/>
  <c r="Z202" i="7"/>
  <c r="AA202" i="7"/>
  <c r="AB202" i="7"/>
  <c r="AC202" i="7"/>
  <c r="AD202" i="7"/>
  <c r="AE202" i="7"/>
  <c r="AF202" i="7"/>
  <c r="AG202" i="7"/>
  <c r="AH202" i="7"/>
  <c r="AI202" i="7"/>
  <c r="B203" i="7"/>
  <c r="C203" i="7"/>
  <c r="D203" i="7"/>
  <c r="E203" i="7"/>
  <c r="F203" i="7"/>
  <c r="G203" i="7"/>
  <c r="H203" i="7"/>
  <c r="I203" i="7"/>
  <c r="J203" i="7"/>
  <c r="K203" i="7"/>
  <c r="L203" i="7"/>
  <c r="M203" i="7"/>
  <c r="N203" i="7"/>
  <c r="O203" i="7"/>
  <c r="P203" i="7"/>
  <c r="Q203" i="7"/>
  <c r="R203" i="7"/>
  <c r="S203" i="7"/>
  <c r="T203" i="7"/>
  <c r="U203" i="7"/>
  <c r="V203" i="7"/>
  <c r="W203" i="7"/>
  <c r="X203" i="7"/>
  <c r="Y203" i="7"/>
  <c r="Z203" i="7"/>
  <c r="AA203" i="7"/>
  <c r="AB203" i="7"/>
  <c r="AC203" i="7"/>
  <c r="AD203" i="7"/>
  <c r="AE203" i="7"/>
  <c r="AF203" i="7"/>
  <c r="AG203" i="7"/>
  <c r="AH203" i="7"/>
  <c r="AI203" i="7"/>
  <c r="B204" i="7"/>
  <c r="C204" i="7"/>
  <c r="D204" i="7"/>
  <c r="E204" i="7"/>
  <c r="F204" i="7"/>
  <c r="G204" i="7"/>
  <c r="H204" i="7"/>
  <c r="I204" i="7"/>
  <c r="J204" i="7"/>
  <c r="K204" i="7"/>
  <c r="L204" i="7"/>
  <c r="M204" i="7"/>
  <c r="N204" i="7"/>
  <c r="O204" i="7"/>
  <c r="P204" i="7"/>
  <c r="Q204" i="7"/>
  <c r="R204" i="7"/>
  <c r="S204" i="7"/>
  <c r="T204" i="7"/>
  <c r="U204" i="7"/>
  <c r="V204" i="7"/>
  <c r="W204" i="7"/>
  <c r="X204" i="7"/>
  <c r="Y204" i="7"/>
  <c r="Z204" i="7"/>
  <c r="AA204" i="7"/>
  <c r="AB204" i="7"/>
  <c r="AC204" i="7"/>
  <c r="AD204" i="7"/>
  <c r="AE204" i="7"/>
  <c r="AF204" i="7"/>
  <c r="AG204" i="7"/>
  <c r="AH204" i="7"/>
  <c r="AI204" i="7"/>
  <c r="B205" i="7"/>
  <c r="C205" i="7"/>
  <c r="D205" i="7"/>
  <c r="E205" i="7"/>
  <c r="F205" i="7"/>
  <c r="G205" i="7"/>
  <c r="H205" i="7"/>
  <c r="I205" i="7"/>
  <c r="J205" i="7"/>
  <c r="K205" i="7"/>
  <c r="L205" i="7"/>
  <c r="M205" i="7"/>
  <c r="N205" i="7"/>
  <c r="O205" i="7"/>
  <c r="P205" i="7"/>
  <c r="Q205" i="7"/>
  <c r="R205" i="7"/>
  <c r="S205" i="7"/>
  <c r="T205" i="7"/>
  <c r="U205" i="7"/>
  <c r="V205" i="7"/>
  <c r="W205" i="7"/>
  <c r="X205" i="7"/>
  <c r="Y205" i="7"/>
  <c r="Z205" i="7"/>
  <c r="AA205" i="7"/>
  <c r="AB205" i="7"/>
  <c r="AC205" i="7"/>
  <c r="AD205" i="7"/>
  <c r="AE205" i="7"/>
  <c r="AF205" i="7"/>
  <c r="AG205" i="7"/>
  <c r="AH205" i="7"/>
  <c r="AI205" i="7"/>
  <c r="B206" i="7"/>
  <c r="C206" i="7"/>
  <c r="D206" i="7"/>
  <c r="E206" i="7"/>
  <c r="F206" i="7"/>
  <c r="G206" i="7"/>
  <c r="H206" i="7"/>
  <c r="I206" i="7"/>
  <c r="J206" i="7"/>
  <c r="K206" i="7"/>
  <c r="L206" i="7"/>
  <c r="M206" i="7"/>
  <c r="N206" i="7"/>
  <c r="O206" i="7"/>
  <c r="P206" i="7"/>
  <c r="Q206" i="7"/>
  <c r="R206" i="7"/>
  <c r="S206" i="7"/>
  <c r="T206" i="7"/>
  <c r="U206" i="7"/>
  <c r="V206" i="7"/>
  <c r="W206" i="7"/>
  <c r="X206" i="7"/>
  <c r="Y206" i="7"/>
  <c r="Z206" i="7"/>
  <c r="AA206" i="7"/>
  <c r="AB206" i="7"/>
  <c r="AC206" i="7"/>
  <c r="AD206" i="7"/>
  <c r="AE206" i="7"/>
  <c r="AF206" i="7"/>
  <c r="AG206" i="7"/>
  <c r="AH206" i="7"/>
  <c r="AI206" i="7"/>
  <c r="B207" i="7"/>
  <c r="C207" i="7"/>
  <c r="D207" i="7"/>
  <c r="E207" i="7"/>
  <c r="F207" i="7"/>
  <c r="G207" i="7"/>
  <c r="H207" i="7"/>
  <c r="I207" i="7"/>
  <c r="J207" i="7"/>
  <c r="K207" i="7"/>
  <c r="L207" i="7"/>
  <c r="M207" i="7"/>
  <c r="N207" i="7"/>
  <c r="O207" i="7"/>
  <c r="P207" i="7"/>
  <c r="Q207" i="7"/>
  <c r="R207" i="7"/>
  <c r="S207" i="7"/>
  <c r="T207" i="7"/>
  <c r="U207" i="7"/>
  <c r="V207" i="7"/>
  <c r="W207" i="7"/>
  <c r="X207" i="7"/>
  <c r="Y207" i="7"/>
  <c r="Z207" i="7"/>
  <c r="AA207" i="7"/>
  <c r="AB207" i="7"/>
  <c r="AC207" i="7"/>
  <c r="AD207" i="7"/>
  <c r="AE207" i="7"/>
  <c r="AF207" i="7"/>
  <c r="AG207" i="7"/>
  <c r="AH207" i="7"/>
  <c r="AI207" i="7"/>
  <c r="B208" i="7"/>
  <c r="C208" i="7"/>
  <c r="D208" i="7"/>
  <c r="E208" i="7"/>
  <c r="F208" i="7"/>
  <c r="G208" i="7"/>
  <c r="H208" i="7"/>
  <c r="I208" i="7"/>
  <c r="J208" i="7"/>
  <c r="K208" i="7"/>
  <c r="L208" i="7"/>
  <c r="M208" i="7"/>
  <c r="N208" i="7"/>
  <c r="O208" i="7"/>
  <c r="P208" i="7"/>
  <c r="Q208" i="7"/>
  <c r="R208" i="7"/>
  <c r="S208" i="7"/>
  <c r="T208" i="7"/>
  <c r="U208" i="7"/>
  <c r="V208" i="7"/>
  <c r="W208" i="7"/>
  <c r="X208" i="7"/>
  <c r="Y208" i="7"/>
  <c r="Z208" i="7"/>
  <c r="AA208" i="7"/>
  <c r="AB208" i="7"/>
  <c r="AC208" i="7"/>
  <c r="AD208" i="7"/>
  <c r="AE208" i="7"/>
  <c r="AF208" i="7"/>
  <c r="AG208" i="7"/>
  <c r="AH208" i="7"/>
  <c r="AI208" i="7"/>
  <c r="B209" i="7"/>
  <c r="C209" i="7"/>
  <c r="D209" i="7"/>
  <c r="E209" i="7"/>
  <c r="F209" i="7"/>
  <c r="G209" i="7"/>
  <c r="H209" i="7"/>
  <c r="I209" i="7"/>
  <c r="J209" i="7"/>
  <c r="K209" i="7"/>
  <c r="L209" i="7"/>
  <c r="M209" i="7"/>
  <c r="N209" i="7"/>
  <c r="O209" i="7"/>
  <c r="P209" i="7"/>
  <c r="Q209" i="7"/>
  <c r="R209" i="7"/>
  <c r="S209" i="7"/>
  <c r="T209" i="7"/>
  <c r="U209" i="7"/>
  <c r="V209" i="7"/>
  <c r="W209" i="7"/>
  <c r="X209" i="7"/>
  <c r="Y209" i="7"/>
  <c r="Z209" i="7"/>
  <c r="AA209" i="7"/>
  <c r="AB209" i="7"/>
  <c r="AC209" i="7"/>
  <c r="AD209" i="7"/>
  <c r="AE209" i="7"/>
  <c r="AF209" i="7"/>
  <c r="AG209" i="7"/>
  <c r="AH209" i="7"/>
  <c r="AI209" i="7"/>
  <c r="B210" i="7"/>
  <c r="C210" i="7"/>
  <c r="D210" i="7"/>
  <c r="E210" i="7"/>
  <c r="F210" i="7"/>
  <c r="G210" i="7"/>
  <c r="H210" i="7"/>
  <c r="I210" i="7"/>
  <c r="J210" i="7"/>
  <c r="K210" i="7"/>
  <c r="L210" i="7"/>
  <c r="M210" i="7"/>
  <c r="N210" i="7"/>
  <c r="O210" i="7"/>
  <c r="P210" i="7"/>
  <c r="Q210" i="7"/>
  <c r="R210" i="7"/>
  <c r="S210" i="7"/>
  <c r="T210" i="7"/>
  <c r="U210" i="7"/>
  <c r="V210" i="7"/>
  <c r="W210" i="7"/>
  <c r="X210" i="7"/>
  <c r="Y210" i="7"/>
  <c r="Z210" i="7"/>
  <c r="AA210" i="7"/>
  <c r="AB210" i="7"/>
  <c r="AC210" i="7"/>
  <c r="AD210" i="7"/>
  <c r="AE210" i="7"/>
  <c r="AF210" i="7"/>
  <c r="AG210" i="7"/>
  <c r="AH210" i="7"/>
  <c r="AI210" i="7"/>
  <c r="B211" i="7"/>
  <c r="C211" i="7"/>
  <c r="D211" i="7"/>
  <c r="E211" i="7"/>
  <c r="F211" i="7"/>
  <c r="G211" i="7"/>
  <c r="H211" i="7"/>
  <c r="I211" i="7"/>
  <c r="J211" i="7"/>
  <c r="K211" i="7"/>
  <c r="L211" i="7"/>
  <c r="M211" i="7"/>
  <c r="N211" i="7"/>
  <c r="O211" i="7"/>
  <c r="P211" i="7"/>
  <c r="Q211" i="7"/>
  <c r="R211" i="7"/>
  <c r="S211" i="7"/>
  <c r="T211" i="7"/>
  <c r="U211" i="7"/>
  <c r="V211" i="7"/>
  <c r="W211" i="7"/>
  <c r="X211" i="7"/>
  <c r="Y211" i="7"/>
  <c r="Z211" i="7"/>
  <c r="AA211" i="7"/>
  <c r="AB211" i="7"/>
  <c r="AC211" i="7"/>
  <c r="AD211" i="7"/>
  <c r="AE211" i="7"/>
  <c r="AF211" i="7"/>
  <c r="AG211" i="7"/>
  <c r="AH211" i="7"/>
  <c r="AI211" i="7"/>
  <c r="B212" i="7"/>
  <c r="C212" i="7"/>
  <c r="D212" i="7"/>
  <c r="E212" i="7"/>
  <c r="F212" i="7"/>
  <c r="G212" i="7"/>
  <c r="H212" i="7"/>
  <c r="I212" i="7"/>
  <c r="J212" i="7"/>
  <c r="K212" i="7"/>
  <c r="L212" i="7"/>
  <c r="M212" i="7"/>
  <c r="N212" i="7"/>
  <c r="O212" i="7"/>
  <c r="P212" i="7"/>
  <c r="Q212" i="7"/>
  <c r="R212" i="7"/>
  <c r="S212" i="7"/>
  <c r="T212" i="7"/>
  <c r="U212" i="7"/>
  <c r="V212" i="7"/>
  <c r="W212" i="7"/>
  <c r="X212" i="7"/>
  <c r="Y212" i="7"/>
  <c r="Z212" i="7"/>
  <c r="AA212" i="7"/>
  <c r="AB212" i="7"/>
  <c r="AC212" i="7"/>
  <c r="AD212" i="7"/>
  <c r="AE212" i="7"/>
  <c r="AF212" i="7"/>
  <c r="AG212" i="7"/>
  <c r="AH212" i="7"/>
  <c r="AI212" i="7"/>
  <c r="B213" i="7"/>
  <c r="C213" i="7"/>
  <c r="D213" i="7"/>
  <c r="E213" i="7"/>
  <c r="F213" i="7"/>
  <c r="G213" i="7"/>
  <c r="H213" i="7"/>
  <c r="I213" i="7"/>
  <c r="J213" i="7"/>
  <c r="K213" i="7"/>
  <c r="L213" i="7"/>
  <c r="M213" i="7"/>
  <c r="N213" i="7"/>
  <c r="O213" i="7"/>
  <c r="P213" i="7"/>
  <c r="Q213" i="7"/>
  <c r="R213" i="7"/>
  <c r="S213" i="7"/>
  <c r="T213" i="7"/>
  <c r="U213" i="7"/>
  <c r="V213" i="7"/>
  <c r="W213" i="7"/>
  <c r="X213" i="7"/>
  <c r="Y213" i="7"/>
  <c r="Z213" i="7"/>
  <c r="AA213" i="7"/>
  <c r="AB213" i="7"/>
  <c r="AC213" i="7"/>
  <c r="AD213" i="7"/>
  <c r="AE213" i="7"/>
  <c r="AF213" i="7"/>
  <c r="AG213" i="7"/>
  <c r="AH213" i="7"/>
  <c r="AI213" i="7"/>
  <c r="B214" i="7"/>
  <c r="C214" i="7"/>
  <c r="D214" i="7"/>
  <c r="E214" i="7"/>
  <c r="F214" i="7"/>
  <c r="G214" i="7"/>
  <c r="H214" i="7"/>
  <c r="I214" i="7"/>
  <c r="J214" i="7"/>
  <c r="K214" i="7"/>
  <c r="L214" i="7"/>
  <c r="M214" i="7"/>
  <c r="N214" i="7"/>
  <c r="O214" i="7"/>
  <c r="P214" i="7"/>
  <c r="Q214" i="7"/>
  <c r="R214" i="7"/>
  <c r="S214" i="7"/>
  <c r="T214" i="7"/>
  <c r="U214" i="7"/>
  <c r="V214" i="7"/>
  <c r="W214" i="7"/>
  <c r="X214" i="7"/>
  <c r="Y214" i="7"/>
  <c r="Z214" i="7"/>
  <c r="AA214" i="7"/>
  <c r="AB214" i="7"/>
  <c r="AC214" i="7"/>
  <c r="AD214" i="7"/>
  <c r="AE214" i="7"/>
  <c r="AF214" i="7"/>
  <c r="AG214" i="7"/>
  <c r="AH214" i="7"/>
  <c r="AI214" i="7"/>
  <c r="B215" i="7"/>
  <c r="C215" i="7"/>
  <c r="D215" i="7"/>
  <c r="E215" i="7"/>
  <c r="F215" i="7"/>
  <c r="G215" i="7"/>
  <c r="H215" i="7"/>
  <c r="I215" i="7"/>
  <c r="J215" i="7"/>
  <c r="K215" i="7"/>
  <c r="L215" i="7"/>
  <c r="M215" i="7"/>
  <c r="N215" i="7"/>
  <c r="O215" i="7"/>
  <c r="P215" i="7"/>
  <c r="Q215" i="7"/>
  <c r="R215" i="7"/>
  <c r="S215" i="7"/>
  <c r="T215" i="7"/>
  <c r="U215" i="7"/>
  <c r="V215" i="7"/>
  <c r="W215" i="7"/>
  <c r="X215" i="7"/>
  <c r="Y215" i="7"/>
  <c r="Z215" i="7"/>
  <c r="AA215" i="7"/>
  <c r="AB215" i="7"/>
  <c r="AC215" i="7"/>
  <c r="AD215" i="7"/>
  <c r="AE215" i="7"/>
  <c r="AF215" i="7"/>
  <c r="AG215" i="7"/>
  <c r="AH215" i="7"/>
  <c r="AI215" i="7"/>
  <c r="B216" i="7"/>
  <c r="C216" i="7"/>
  <c r="D216" i="7"/>
  <c r="E216" i="7"/>
  <c r="F216" i="7"/>
  <c r="G216" i="7"/>
  <c r="H216" i="7"/>
  <c r="I216" i="7"/>
  <c r="J216" i="7"/>
  <c r="K216" i="7"/>
  <c r="L216" i="7"/>
  <c r="M216" i="7"/>
  <c r="N216" i="7"/>
  <c r="O216" i="7"/>
  <c r="P216" i="7"/>
  <c r="Q216" i="7"/>
  <c r="R216" i="7"/>
  <c r="S216" i="7"/>
  <c r="T216" i="7"/>
  <c r="U216" i="7"/>
  <c r="V216" i="7"/>
  <c r="W216" i="7"/>
  <c r="X216" i="7"/>
  <c r="Y216" i="7"/>
  <c r="Z216" i="7"/>
  <c r="AA216" i="7"/>
  <c r="AB216" i="7"/>
  <c r="AC216" i="7"/>
  <c r="AD216" i="7"/>
  <c r="AE216" i="7"/>
  <c r="AF216" i="7"/>
  <c r="AG216" i="7"/>
  <c r="AH216" i="7"/>
  <c r="AI216" i="7"/>
  <c r="B217" i="7"/>
  <c r="C217" i="7"/>
  <c r="D217" i="7"/>
  <c r="E217" i="7"/>
  <c r="F217" i="7"/>
  <c r="G217" i="7"/>
  <c r="H217" i="7"/>
  <c r="I217" i="7"/>
  <c r="J217" i="7"/>
  <c r="K217" i="7"/>
  <c r="L217" i="7"/>
  <c r="M217" i="7"/>
  <c r="N217" i="7"/>
  <c r="O217" i="7"/>
  <c r="P217" i="7"/>
  <c r="Q217" i="7"/>
  <c r="R217" i="7"/>
  <c r="S217" i="7"/>
  <c r="T217" i="7"/>
  <c r="U217" i="7"/>
  <c r="V217" i="7"/>
  <c r="W217" i="7"/>
  <c r="X217" i="7"/>
  <c r="Y217" i="7"/>
  <c r="Z217" i="7"/>
  <c r="AA217" i="7"/>
  <c r="AB217" i="7"/>
  <c r="AC217" i="7"/>
  <c r="AD217" i="7"/>
  <c r="AE217" i="7"/>
  <c r="AF217" i="7"/>
  <c r="AG217" i="7"/>
  <c r="AH217" i="7"/>
  <c r="AI217" i="7"/>
  <c r="B218" i="7"/>
  <c r="C218" i="7"/>
  <c r="D218" i="7"/>
  <c r="E218" i="7"/>
  <c r="F218" i="7"/>
  <c r="G218" i="7"/>
  <c r="H218" i="7"/>
  <c r="I218" i="7"/>
  <c r="J218" i="7"/>
  <c r="K218" i="7"/>
  <c r="L218" i="7"/>
  <c r="M218" i="7"/>
  <c r="N218" i="7"/>
  <c r="O218" i="7"/>
  <c r="P218" i="7"/>
  <c r="Q218" i="7"/>
  <c r="R218" i="7"/>
  <c r="S218" i="7"/>
  <c r="T218" i="7"/>
  <c r="U218" i="7"/>
  <c r="V218" i="7"/>
  <c r="W218" i="7"/>
  <c r="X218" i="7"/>
  <c r="Y218" i="7"/>
  <c r="Z218" i="7"/>
  <c r="AA218" i="7"/>
  <c r="AB218" i="7"/>
  <c r="AC218" i="7"/>
  <c r="AD218" i="7"/>
  <c r="AE218" i="7"/>
  <c r="AF218" i="7"/>
  <c r="AG218" i="7"/>
  <c r="AH218" i="7"/>
  <c r="AI218" i="7"/>
  <c r="B219" i="7"/>
  <c r="C219" i="7"/>
  <c r="D219" i="7"/>
  <c r="E219" i="7"/>
  <c r="F219" i="7"/>
  <c r="G219" i="7"/>
  <c r="H219" i="7"/>
  <c r="I219" i="7"/>
  <c r="J219" i="7"/>
  <c r="K219" i="7"/>
  <c r="L219" i="7"/>
  <c r="M219" i="7"/>
  <c r="N219" i="7"/>
  <c r="O219" i="7"/>
  <c r="P219" i="7"/>
  <c r="Q219" i="7"/>
  <c r="R219" i="7"/>
  <c r="S219" i="7"/>
  <c r="T219" i="7"/>
  <c r="U219" i="7"/>
  <c r="V219" i="7"/>
  <c r="W219" i="7"/>
  <c r="X219" i="7"/>
  <c r="Y219" i="7"/>
  <c r="Z219" i="7"/>
  <c r="AA219" i="7"/>
  <c r="AB219" i="7"/>
  <c r="AC219" i="7"/>
  <c r="AD219" i="7"/>
  <c r="AE219" i="7"/>
  <c r="AF219" i="7"/>
  <c r="AG219" i="7"/>
  <c r="AH219" i="7"/>
  <c r="AI219" i="7"/>
  <c r="B220" i="7"/>
  <c r="C220" i="7"/>
  <c r="D220" i="7"/>
  <c r="E220" i="7"/>
  <c r="F220" i="7"/>
  <c r="G220" i="7"/>
  <c r="H220" i="7"/>
  <c r="I220" i="7"/>
  <c r="J220" i="7"/>
  <c r="K220" i="7"/>
  <c r="L220" i="7"/>
  <c r="M220" i="7"/>
  <c r="N220" i="7"/>
  <c r="O220" i="7"/>
  <c r="P220" i="7"/>
  <c r="Q220" i="7"/>
  <c r="R220" i="7"/>
  <c r="S220" i="7"/>
  <c r="T220" i="7"/>
  <c r="U220" i="7"/>
  <c r="V220" i="7"/>
  <c r="W220" i="7"/>
  <c r="X220" i="7"/>
  <c r="Y220" i="7"/>
  <c r="Z220" i="7"/>
  <c r="AA220" i="7"/>
  <c r="AB220" i="7"/>
  <c r="AC220" i="7"/>
  <c r="AD220" i="7"/>
  <c r="AE220" i="7"/>
  <c r="AF220" i="7"/>
  <c r="AG220" i="7"/>
  <c r="AH220" i="7"/>
  <c r="AI220" i="7"/>
  <c r="B221" i="7"/>
  <c r="C221" i="7"/>
  <c r="D221" i="7"/>
  <c r="E221" i="7"/>
  <c r="F221" i="7"/>
  <c r="G221" i="7"/>
  <c r="H221" i="7"/>
  <c r="I221" i="7"/>
  <c r="J221" i="7"/>
  <c r="K221" i="7"/>
  <c r="L221" i="7"/>
  <c r="M221" i="7"/>
  <c r="N221" i="7"/>
  <c r="O221" i="7"/>
  <c r="P221" i="7"/>
  <c r="Q221" i="7"/>
  <c r="R221" i="7"/>
  <c r="S221" i="7"/>
  <c r="T221" i="7"/>
  <c r="U221" i="7"/>
  <c r="V221" i="7"/>
  <c r="W221" i="7"/>
  <c r="X221" i="7"/>
  <c r="Y221" i="7"/>
  <c r="Z221" i="7"/>
  <c r="AA221" i="7"/>
  <c r="AB221" i="7"/>
  <c r="AC221" i="7"/>
  <c r="AD221" i="7"/>
  <c r="AE221" i="7"/>
  <c r="AF221" i="7"/>
  <c r="AG221" i="7"/>
  <c r="AH221" i="7"/>
  <c r="AI221" i="7"/>
  <c r="B222" i="7"/>
  <c r="C222" i="7"/>
  <c r="D222" i="7"/>
  <c r="E222" i="7"/>
  <c r="F222" i="7"/>
  <c r="G222" i="7"/>
  <c r="H222" i="7"/>
  <c r="I222" i="7"/>
  <c r="J222" i="7"/>
  <c r="K222" i="7"/>
  <c r="L222" i="7"/>
  <c r="M222" i="7"/>
  <c r="N222" i="7"/>
  <c r="O222" i="7"/>
  <c r="P222" i="7"/>
  <c r="Q222" i="7"/>
  <c r="R222" i="7"/>
  <c r="S222" i="7"/>
  <c r="T222" i="7"/>
  <c r="U222" i="7"/>
  <c r="V222" i="7"/>
  <c r="W222" i="7"/>
  <c r="X222" i="7"/>
  <c r="Y222" i="7"/>
  <c r="Z222" i="7"/>
  <c r="AA222" i="7"/>
  <c r="AB222" i="7"/>
  <c r="AC222" i="7"/>
  <c r="AD222" i="7"/>
  <c r="AE222" i="7"/>
  <c r="AF222" i="7"/>
  <c r="AG222" i="7"/>
  <c r="AH222" i="7"/>
  <c r="AI222" i="7"/>
  <c r="B223" i="7"/>
  <c r="C223" i="7"/>
  <c r="D223" i="7"/>
  <c r="E223" i="7"/>
  <c r="F223" i="7"/>
  <c r="G223" i="7"/>
  <c r="H223" i="7"/>
  <c r="I223" i="7"/>
  <c r="J223" i="7"/>
  <c r="K223" i="7"/>
  <c r="L223" i="7"/>
  <c r="M223" i="7"/>
  <c r="N223" i="7"/>
  <c r="O223" i="7"/>
  <c r="P223" i="7"/>
  <c r="Q223" i="7"/>
  <c r="R223" i="7"/>
  <c r="S223" i="7"/>
  <c r="T223" i="7"/>
  <c r="U223" i="7"/>
  <c r="V223" i="7"/>
  <c r="W223" i="7"/>
  <c r="X223" i="7"/>
  <c r="Y223" i="7"/>
  <c r="Z223" i="7"/>
  <c r="AA223" i="7"/>
  <c r="AB223" i="7"/>
  <c r="AC223" i="7"/>
  <c r="AD223" i="7"/>
  <c r="AE223" i="7"/>
  <c r="AF223" i="7"/>
  <c r="AG223" i="7"/>
  <c r="AH223" i="7"/>
  <c r="AI223" i="7"/>
  <c r="B224" i="7"/>
  <c r="C224" i="7"/>
  <c r="D224" i="7"/>
  <c r="E224" i="7"/>
  <c r="F224" i="7"/>
  <c r="G224" i="7"/>
  <c r="H224" i="7"/>
  <c r="I224" i="7"/>
  <c r="J224" i="7"/>
  <c r="K224" i="7"/>
  <c r="L224" i="7"/>
  <c r="M224" i="7"/>
  <c r="N224" i="7"/>
  <c r="O224" i="7"/>
  <c r="P224" i="7"/>
  <c r="Q224" i="7"/>
  <c r="R224" i="7"/>
  <c r="S224" i="7"/>
  <c r="T224" i="7"/>
  <c r="U224" i="7"/>
  <c r="V224" i="7"/>
  <c r="W224" i="7"/>
  <c r="X224" i="7"/>
  <c r="Y224" i="7"/>
  <c r="Z224" i="7"/>
  <c r="AA224" i="7"/>
  <c r="AB224" i="7"/>
  <c r="AC224" i="7"/>
  <c r="AD224" i="7"/>
  <c r="AE224" i="7"/>
  <c r="AF224" i="7"/>
  <c r="AG224" i="7"/>
  <c r="AH224" i="7"/>
  <c r="AI224" i="7"/>
  <c r="B225" i="7"/>
  <c r="C225" i="7"/>
  <c r="D225" i="7"/>
  <c r="E225" i="7"/>
  <c r="F225" i="7"/>
  <c r="G225" i="7"/>
  <c r="H225" i="7"/>
  <c r="I225" i="7"/>
  <c r="J225" i="7"/>
  <c r="K225" i="7"/>
  <c r="L225" i="7"/>
  <c r="M225" i="7"/>
  <c r="N225" i="7"/>
  <c r="O225" i="7"/>
  <c r="P225" i="7"/>
  <c r="Q225" i="7"/>
  <c r="R225" i="7"/>
  <c r="S225" i="7"/>
  <c r="T225" i="7"/>
  <c r="U225" i="7"/>
  <c r="V225" i="7"/>
  <c r="W225" i="7"/>
  <c r="X225" i="7"/>
  <c r="Y225" i="7"/>
  <c r="Z225" i="7"/>
  <c r="AA225" i="7"/>
  <c r="AB225" i="7"/>
  <c r="AC225" i="7"/>
  <c r="AD225" i="7"/>
  <c r="AE225" i="7"/>
  <c r="AF225" i="7"/>
  <c r="AG225" i="7"/>
  <c r="AH225" i="7"/>
  <c r="AI225" i="7"/>
  <c r="B226" i="7"/>
  <c r="C226" i="7"/>
  <c r="D226" i="7"/>
  <c r="E226" i="7"/>
  <c r="F226" i="7"/>
  <c r="G226" i="7"/>
  <c r="H226" i="7"/>
  <c r="I226" i="7"/>
  <c r="J226" i="7"/>
  <c r="K226" i="7"/>
  <c r="L226" i="7"/>
  <c r="M226" i="7"/>
  <c r="N226" i="7"/>
  <c r="O226" i="7"/>
  <c r="P226" i="7"/>
  <c r="Q226" i="7"/>
  <c r="R226" i="7"/>
  <c r="S226" i="7"/>
  <c r="T226" i="7"/>
  <c r="U226" i="7"/>
  <c r="V226" i="7"/>
  <c r="W226" i="7"/>
  <c r="X226" i="7"/>
  <c r="Y226" i="7"/>
  <c r="Z226" i="7"/>
  <c r="AA226" i="7"/>
  <c r="AB226" i="7"/>
  <c r="AC226" i="7"/>
  <c r="AD226" i="7"/>
  <c r="AE226" i="7"/>
  <c r="AF226" i="7"/>
  <c r="AG226" i="7"/>
  <c r="AH226" i="7"/>
  <c r="AI226" i="7"/>
  <c r="B227" i="7"/>
  <c r="C227" i="7"/>
  <c r="D227" i="7"/>
  <c r="E227" i="7"/>
  <c r="F227" i="7"/>
  <c r="G227" i="7"/>
  <c r="H227" i="7"/>
  <c r="I227" i="7"/>
  <c r="J227" i="7"/>
  <c r="K227" i="7"/>
  <c r="L227" i="7"/>
  <c r="M227" i="7"/>
  <c r="N227" i="7"/>
  <c r="O227" i="7"/>
  <c r="P227" i="7"/>
  <c r="Q227" i="7"/>
  <c r="R227" i="7"/>
  <c r="S227" i="7"/>
  <c r="T227" i="7"/>
  <c r="U227" i="7"/>
  <c r="V227" i="7"/>
  <c r="W227" i="7"/>
  <c r="X227" i="7"/>
  <c r="Z227" i="7"/>
  <c r="AA227" i="7"/>
  <c r="AB227" i="7"/>
  <c r="AC227" i="7"/>
  <c r="AD227" i="7"/>
  <c r="AE227" i="7"/>
  <c r="AF227" i="7"/>
  <c r="AG227" i="7"/>
  <c r="AH227" i="7"/>
  <c r="AI227" i="7"/>
  <c r="B228" i="7"/>
  <c r="C228" i="7"/>
  <c r="D228" i="7"/>
  <c r="E228" i="7"/>
  <c r="F228" i="7"/>
  <c r="G228" i="7"/>
  <c r="H228" i="7"/>
  <c r="I228" i="7"/>
  <c r="J228" i="7"/>
  <c r="K228" i="7"/>
  <c r="L228" i="7"/>
  <c r="M228" i="7"/>
  <c r="N228" i="7"/>
  <c r="O228" i="7"/>
  <c r="P228" i="7"/>
  <c r="Q228" i="7"/>
  <c r="R228" i="7"/>
  <c r="S228" i="7"/>
  <c r="T228" i="7"/>
  <c r="U228" i="7"/>
  <c r="V228" i="7"/>
  <c r="W228" i="7"/>
  <c r="X228" i="7"/>
  <c r="Z228" i="7"/>
  <c r="AA228" i="7"/>
  <c r="AB228" i="7"/>
  <c r="AC228" i="7"/>
  <c r="AD228" i="7"/>
  <c r="AF228" i="7"/>
  <c r="AG228" i="7"/>
  <c r="AH228" i="7"/>
  <c r="AI228" i="7"/>
  <c r="B229" i="7"/>
  <c r="C229" i="7"/>
  <c r="D229" i="7"/>
  <c r="E229" i="7"/>
  <c r="F229" i="7"/>
  <c r="G229" i="7"/>
  <c r="H229" i="7"/>
  <c r="I229" i="7"/>
  <c r="J229" i="7"/>
  <c r="K229" i="7"/>
  <c r="L229" i="7"/>
  <c r="M229" i="7"/>
  <c r="N229" i="7"/>
  <c r="O229" i="7"/>
  <c r="P229" i="7"/>
  <c r="Q229" i="7"/>
  <c r="R229" i="7"/>
  <c r="S229" i="7"/>
  <c r="T229" i="7"/>
  <c r="U229" i="7"/>
  <c r="V229" i="7"/>
  <c r="W229" i="7"/>
  <c r="X229" i="7"/>
  <c r="Z229" i="7"/>
  <c r="AB229" i="7"/>
  <c r="AC229" i="7"/>
  <c r="AD229" i="7"/>
  <c r="AF229" i="7"/>
  <c r="AG229" i="7"/>
  <c r="AH229" i="7"/>
  <c r="AI229" i="7"/>
  <c r="B230" i="7"/>
  <c r="C230" i="7"/>
  <c r="D230" i="7"/>
  <c r="E230" i="7"/>
  <c r="F230" i="7"/>
  <c r="G230" i="7"/>
  <c r="H230" i="7"/>
  <c r="I230" i="7"/>
  <c r="J230" i="7"/>
  <c r="K230" i="7"/>
  <c r="L230" i="7"/>
  <c r="M230" i="7"/>
  <c r="N230" i="7"/>
  <c r="O230" i="7"/>
  <c r="P230" i="7"/>
  <c r="Q230" i="7"/>
  <c r="R230" i="7"/>
  <c r="S230" i="7"/>
  <c r="T230" i="7"/>
  <c r="U230" i="7"/>
  <c r="V230" i="7"/>
  <c r="W230" i="7"/>
  <c r="X230" i="7"/>
  <c r="Z230" i="7"/>
  <c r="AB230" i="7"/>
  <c r="AD230" i="7"/>
  <c r="AI230" i="7"/>
  <c r="B231" i="7"/>
  <c r="C231" i="7"/>
  <c r="D231" i="7"/>
  <c r="E231" i="7"/>
  <c r="F231" i="7"/>
  <c r="G231" i="7"/>
  <c r="H231" i="7"/>
  <c r="I231" i="7"/>
  <c r="J231" i="7"/>
  <c r="L231" i="7"/>
  <c r="M231" i="7"/>
  <c r="N231" i="7"/>
  <c r="O231" i="7"/>
  <c r="P231" i="7"/>
  <c r="R231" i="7"/>
  <c r="S231" i="7"/>
  <c r="T231" i="7"/>
  <c r="U231" i="7"/>
  <c r="V231" i="7"/>
  <c r="W231" i="7"/>
  <c r="X231" i="7"/>
  <c r="Z231" i="7"/>
  <c r="AI231" i="7"/>
  <c r="B232" i="7"/>
  <c r="C232" i="7"/>
  <c r="D232" i="7"/>
  <c r="E232" i="7"/>
  <c r="F232" i="7"/>
  <c r="G232" i="7"/>
  <c r="H232" i="7"/>
  <c r="I232" i="7"/>
  <c r="J232" i="7"/>
  <c r="L232" i="7"/>
  <c r="M232" i="7"/>
  <c r="N232" i="7"/>
  <c r="O232" i="7"/>
  <c r="P232" i="7"/>
  <c r="R232" i="7"/>
  <c r="S232" i="7"/>
  <c r="T232" i="7"/>
  <c r="U232" i="7"/>
  <c r="V232" i="7"/>
  <c r="X232" i="7"/>
  <c r="Z232" i="7"/>
  <c r="AI232" i="7"/>
  <c r="B233" i="7"/>
  <c r="C233" i="7"/>
  <c r="D233" i="7"/>
  <c r="E233" i="7"/>
  <c r="F233" i="7"/>
  <c r="G233" i="7"/>
  <c r="H233" i="7"/>
  <c r="L233" i="7"/>
  <c r="M233" i="7"/>
  <c r="N233" i="7"/>
  <c r="O233" i="7"/>
  <c r="R233" i="7"/>
  <c r="S233" i="7"/>
  <c r="T233" i="7"/>
  <c r="U233" i="7"/>
  <c r="V233" i="7"/>
  <c r="X233" i="7"/>
  <c r="Z233" i="7"/>
  <c r="B234" i="7"/>
  <c r="C234" i="7"/>
  <c r="D234" i="7"/>
  <c r="E234" i="7"/>
  <c r="F234" i="7"/>
  <c r="G234" i="7"/>
  <c r="H234" i="7"/>
  <c r="L234" i="7"/>
  <c r="M234" i="7"/>
  <c r="T234" i="7"/>
  <c r="X234" i="7"/>
  <c r="B235" i="7"/>
  <c r="C235" i="7"/>
  <c r="D235" i="7"/>
  <c r="E235" i="7"/>
  <c r="F235" i="7"/>
  <c r="G235" i="7"/>
  <c r="H235" i="7"/>
  <c r="X235" i="7"/>
  <c r="B236" i="7"/>
  <c r="C236" i="7"/>
  <c r="D236" i="7"/>
  <c r="E236" i="7"/>
  <c r="F236" i="7"/>
  <c r="G236" i="7"/>
  <c r="H236" i="7"/>
  <c r="B237" i="7"/>
  <c r="C237" i="7"/>
  <c r="D237" i="7"/>
  <c r="E237" i="7"/>
  <c r="F237" i="7"/>
  <c r="G237" i="7"/>
  <c r="H237" i="7"/>
  <c r="B238" i="7"/>
  <c r="C238" i="7"/>
  <c r="D238" i="7"/>
  <c r="E238" i="7"/>
  <c r="F238" i="7"/>
  <c r="G238" i="7"/>
  <c r="H238" i="7"/>
  <c r="C120" i="7" l="1"/>
  <c r="D120" i="7"/>
  <c r="E120" i="7"/>
  <c r="F120" i="7"/>
  <c r="G120" i="7"/>
  <c r="H120" i="7"/>
  <c r="I120" i="7"/>
  <c r="J120" i="7"/>
  <c r="K120" i="7"/>
  <c r="L120" i="7"/>
  <c r="M120" i="7"/>
  <c r="N120" i="7"/>
  <c r="O120" i="7"/>
  <c r="P120" i="7"/>
  <c r="Q120" i="7"/>
  <c r="R120" i="7"/>
  <c r="S120" i="7"/>
  <c r="T120" i="7"/>
  <c r="U120" i="7"/>
  <c r="V120" i="7"/>
  <c r="W120" i="7"/>
  <c r="X120" i="7"/>
  <c r="Y120" i="7"/>
  <c r="Z120" i="7"/>
  <c r="AA120" i="7"/>
  <c r="AB120" i="7"/>
  <c r="AC120" i="7"/>
  <c r="AD120" i="7"/>
  <c r="AE120" i="7"/>
  <c r="AF120" i="7"/>
  <c r="AG120" i="7"/>
  <c r="AH120" i="7"/>
  <c r="AI120"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Miller, Sara E (DFG)</author>
  </authors>
  <commentList>
    <comment ref="H3" authorId="0" shapeId="0" xr:uid="{899655C5-5194-4F63-8C32-6565E5CF3666}">
      <text>
        <r>
          <rPr>
            <b/>
            <sz val="9"/>
            <color indexed="81"/>
            <rFont val="Tahoma"/>
            <family val="2"/>
          </rPr>
          <t>Miller, Sara E (DFG):</t>
        </r>
        <r>
          <rPr>
            <sz val="9"/>
            <color indexed="81"/>
            <rFont val="Tahoma"/>
            <family val="2"/>
          </rPr>
          <t xml:space="preserve">
Example of calculation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Miller, Sara E (DFG)</author>
  </authors>
  <commentList>
    <comment ref="A2" authorId="0" shapeId="0" xr:uid="{89447AA7-5A68-4BA0-AC14-6D84280124F6}">
      <text>
        <r>
          <rPr>
            <b/>
            <sz val="9"/>
            <color indexed="81"/>
            <rFont val="Tahoma"/>
            <family val="2"/>
          </rPr>
          <t>Miller, Sara E (DFG):</t>
        </r>
        <r>
          <rPr>
            <sz val="9"/>
            <color indexed="81"/>
            <rFont val="Tahoma"/>
            <family val="2"/>
          </rPr>
          <t xml:space="preserve">
Miller, Sara E (DFG):
These functions were written by Justin Priest (ADF&amp;G). Originally the MissFill function was a macro that Jim Blick created way back when. Leon Shaul always cited Brown, M. B. 1974. Identification of sources of significance in two-way contingency tables. Applied Statistics 23:405–413 (attached), and Jim Blick provided him some suggested text to include in reports (see references). In 2003, we (Heinl et al.) started citing McLachlan and Krishnan (1997), The EM Algorithm and Extensions, John Wiley and Sons, New York, for the method of interpolating missing values. Steve Heinl doesn’t own this book, and he is pretty certain the citation was provided at the time by Hal Geiger.  For the pink salmon index “If a particular index stream is missing escapement counts for any given year, an iterative EM algorithm (McLachlan and Krishnan 1997) is used to interpolate a peak count. Missing counts are interpolated by assuming that the expected count for a given year is equal to the sum of all counts for that stream, divided by the sum of all counts over all years for all the streams in the unit (i.e., row total times column total divided by grand total). This assumes a multiplicative relation between yearly count and unit count, with no interaction (Zadina et al. 2003, page 12 in the attached)." In this case, date is treated as the "stream".</t>
        </r>
      </text>
    </comment>
    <comment ref="H3" authorId="0" shapeId="0" xr:uid="{5836A358-4271-439A-9AD4-1E52A3F04119}">
      <text>
        <r>
          <rPr>
            <b/>
            <sz val="9"/>
            <color indexed="81"/>
            <rFont val="Tahoma"/>
            <family val="2"/>
          </rPr>
          <t>Miller, Sara E (DFG):</t>
        </r>
        <r>
          <rPr>
            <sz val="9"/>
            <color indexed="81"/>
            <rFont val="Tahoma"/>
            <family val="2"/>
          </rPr>
          <t xml:space="preserve">
Example of calculation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Miller, Sara E (DFG)</author>
  </authors>
  <commentList>
    <comment ref="A2" authorId="0" shapeId="0" xr:uid="{2700019E-A8A2-41A3-A884-B16EF7DAD701}">
      <text>
        <r>
          <rPr>
            <b/>
            <sz val="9"/>
            <color indexed="81"/>
            <rFont val="Tahoma"/>
            <family val="2"/>
          </rPr>
          <t>Miller, Sara E (DFG):</t>
        </r>
        <r>
          <rPr>
            <sz val="9"/>
            <color indexed="81"/>
            <rFont val="Tahoma"/>
            <family val="2"/>
          </rPr>
          <t xml:space="preserve">
Miller, Sara E (DFG):
These functions were written by Justin Priest (ADF&amp;G). Originally the MissFill function was a macro that Jim Blick created way back when. Leon Shaul always cited Brown, M. B. 1974. Identification of sources of significance in two-way contingency tables. Applied Statistics 23:405–413 (attached), and Jim Blick provided him some suggested text to include in reports (see references). In 2003, we (Heinl et al.) started citing McLachlan and Krishnan (1997), The EM Algorithm and Extensions, John Wiley and Sons, New York, for the method of interpolating missing values. Steve Heinl doesn’t own this book, and he is pretty certain the citation was provided at the time by Hal Geiger.  For the pink salmon index “If a particular index stream is missing escapement counts for any given year, an iterative EM algorithm (McLachlan and Krishnan 1997) is used to interpolate a peak count. Missing counts are interpolated by assuming that the expected count for a given year is equal to the sum of all counts for that stream, divided by the sum of all counts over all years for all the streams in the unit (i.e., row total times column total divided by grand total). This assumes a multiplicative relation between yearly count and unit count, with no interaction (Zadina et al. 2003, page 12 in the attached)." In this case, date is treated as the "stream".</t>
        </r>
      </text>
    </comment>
    <comment ref="H3" authorId="0" shapeId="0" xr:uid="{E4C5C2BF-6803-4BDB-91C6-35A2A86FB39B}">
      <text>
        <r>
          <rPr>
            <b/>
            <sz val="9"/>
            <color indexed="81"/>
            <rFont val="Tahoma"/>
            <family val="2"/>
          </rPr>
          <t>Miller, Sara E (DFG):</t>
        </r>
        <r>
          <rPr>
            <sz val="9"/>
            <color indexed="81"/>
            <rFont val="Tahoma"/>
            <family val="2"/>
          </rPr>
          <t xml:space="preserve">
Example of calculation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Miller, Sara E (DFG)</author>
  </authors>
  <commentList>
    <comment ref="A2" authorId="0" shapeId="0" xr:uid="{36745BE1-7247-4B58-840D-4199C71CB8B0}">
      <text>
        <r>
          <rPr>
            <b/>
            <sz val="9"/>
            <color indexed="81"/>
            <rFont val="Tahoma"/>
            <family val="2"/>
          </rPr>
          <t>Miller, Sara E (DFG):</t>
        </r>
        <r>
          <rPr>
            <sz val="9"/>
            <color indexed="81"/>
            <rFont val="Tahoma"/>
            <family val="2"/>
          </rPr>
          <t xml:space="preserve">
These functions were written by Justin Priest (ADF&amp;G). Originally the MissFill function was a macro that Jim Blick created way back when. Leon Shaul always cited Brown, M. B. 1974. Identification of sources of significance in two-way contingency tables. Applied Statistics 23:405–413 (attached), and Jim Blick provided him some suggested text to include in reports (see references). In 2003, we (Heinl et al.) started citing McLachlan and Krishnan (1997), The EM Algorithm and Extensions, John Wiley and Sons, New York, for the method of interpolating missing values. Steve Heinl doesn’t own this book, and he is pretty certain the citation was provided at the time by Hal Geiger.  For the pink salmon index “If a particular index stream is missing escapement counts for any given year, an iterative EM algorithm (McLachlan and Krishnan 1997) is used to interpolate a peak count. Missing counts are interpolated by assuming that the expected count for a given year is equal to the sum of all counts for that stream, divided by the sum of all counts over all years for all the streams in the unit (i.e., row total times column total divided by grand total). This assumes a multiplicative relation between yearly count and unit count, with no interaction (Zadina et al. 2003, page 12 in the attached)." In this case, date is treated as the "stream".</t>
        </r>
      </text>
    </comment>
    <comment ref="H3" authorId="0" shapeId="0" xr:uid="{6A46CF9D-1126-4042-AD95-5ACA6D964C1A}">
      <text>
        <r>
          <rPr>
            <b/>
            <sz val="9"/>
            <color indexed="81"/>
            <rFont val="Tahoma"/>
            <family val="2"/>
          </rPr>
          <t>Miller, Sara E (DFG):</t>
        </r>
        <r>
          <rPr>
            <sz val="9"/>
            <color indexed="81"/>
            <rFont val="Tahoma"/>
            <family val="2"/>
          </rPr>
          <t xml:space="preserve">
Example of calculation</t>
        </r>
      </text>
    </comment>
  </commentList>
</comments>
</file>

<file path=xl/sharedStrings.xml><?xml version="1.0" encoding="utf-8"?>
<sst xmlns="http://schemas.openxmlformats.org/spreadsheetml/2006/main" count="36" uniqueCount="15">
  <si>
    <t>Date</t>
  </si>
  <si>
    <t>Total</t>
  </si>
  <si>
    <t>Subtotal</t>
  </si>
  <si>
    <t>Raw sockeye salmon counts; includes all count types, all maturity types.</t>
  </si>
  <si>
    <t>DAILY COUNTS:</t>
  </si>
  <si>
    <t>CUMULATIVE:</t>
  </si>
  <si>
    <t>DAILY:</t>
  </si>
  <si>
    <t>Global missfill</t>
  </si>
  <si>
    <t>% Missfill</t>
  </si>
  <si>
    <t xml:space="preserve"> imputes all NAs in all years iteratively</t>
  </si>
  <si>
    <t xml:space="preserve">global missfill from R code </t>
  </si>
  <si>
    <t>local missfill</t>
  </si>
  <si>
    <t>imputes a 10-year rolling imputation (prev &amp; following 5 years)</t>
  </si>
  <si>
    <t>Examples</t>
  </si>
  <si>
    <t xml:space="preserve">local missfill from R code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</si>
</sst>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
    <numFmt numFmtId="165" formatCode="0.0000000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color indexed="81"/>
      <name val="Tahoma"/>
      <family val="2"/>
    </font>
    <font>
      <b/>
      <sz val="9"/>
      <color indexed="81"/>
      <name val="Tahoma"/>
      <family val="2"/>
    </font>
    <font>
      <b/>
      <sz val="11"/>
      <color rgb="FFFF0000"/>
      <name val="Calibri"/>
      <family val="2"/>
      <scheme val="minor"/>
    </font>
    <font>
      <b/>
      <sz val="11"/>
      <color theme="4"/>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
      <patternFill patternType="solid">
        <fgColor theme="5"/>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theme="7"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6">
    <xf numFmtId="0" fontId="0" fillId="0" borderId="0" xfId="0"/>
    <xf numFmtId="16" fontId="0" fillId="0" borderId="0" xfId="0" applyNumberFormat="1"/>
    <xf numFmtId="0" fontId="14" fillId="0" borderId="0" xfId="0" applyFont="1"/>
    <xf numFmtId="1" fontId="0" fillId="0" borderId="0" xfId="0" applyNumberFormat="1"/>
    <xf numFmtId="9" fontId="0" fillId="0" borderId="0" xfId="42" applyFont="1"/>
    <xf numFmtId="0" fontId="16" fillId="0" borderId="0" xfId="0" applyFont="1"/>
    <xf numFmtId="10" fontId="0" fillId="0" borderId="0" xfId="42" applyNumberFormat="1" applyFont="1"/>
    <xf numFmtId="10" fontId="0" fillId="0" borderId="0" xfId="0" applyNumberFormat="1"/>
    <xf numFmtId="9" fontId="0" fillId="0" borderId="0" xfId="0" applyNumberFormat="1"/>
    <xf numFmtId="0" fontId="20" fillId="0" borderId="0" xfId="0" applyFont="1"/>
    <xf numFmtId="0" fontId="21" fillId="0" borderId="0" xfId="0" applyFont="1"/>
    <xf numFmtId="0" fontId="0" fillId="33" borderId="0" xfId="0" applyFill="1"/>
    <xf numFmtId="164" fontId="0" fillId="0" borderId="0" xfId="0" applyNumberFormat="1"/>
    <xf numFmtId="165" fontId="0" fillId="34" borderId="0" xfId="0" applyNumberFormat="1" applyFill="1"/>
    <xf numFmtId="165" fontId="0" fillId="0" borderId="0" xfId="0" applyNumberFormat="1"/>
    <xf numFmtId="0" fontId="0" fillId="35" borderId="0" xfId="0" applyFill="1"/>
    <xf numFmtId="165" fontId="0" fillId="36" borderId="0" xfId="0" applyNumberFormat="1" applyFill="1"/>
    <xf numFmtId="0" fontId="0" fillId="36" borderId="0" xfId="0" applyFill="1"/>
    <xf numFmtId="165" fontId="0" fillId="35" borderId="0" xfId="0" applyNumberFormat="1" applyFill="1"/>
    <xf numFmtId="0" fontId="0" fillId="0" borderId="0" xfId="0" applyAlignment="1">
      <alignment horizontal="center"/>
    </xf>
    <xf numFmtId="0" fontId="0" fillId="0" borderId="0" xfId="0" applyFill="1"/>
    <xf numFmtId="1" fontId="0" fillId="33" borderId="0" xfId="0" applyNumberFormat="1" applyFill="1"/>
    <xf numFmtId="0" fontId="0" fillId="0" borderId="0" xfId="0" applyAlignment="1"/>
    <xf numFmtId="0" fontId="0" fillId="34" borderId="0" xfId="0" applyFill="1"/>
    <xf numFmtId="0" fontId="0" fillId="37" borderId="0" xfId="0" applyFill="1"/>
    <xf numFmtId="10" fontId="0" fillId="33" borderId="0" xfId="42" applyNumberFormat="1" applyFon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C4266-F2CD-4F8E-997A-C5A6AAC0B0BA}">
  <sheetPr codeName="Sheet1"/>
  <dimension ref="A1:AJ238"/>
  <sheetViews>
    <sheetView workbookViewId="0">
      <pane xSplit="1" ySplit="5" topLeftCell="B6" activePane="bottomRight" state="frozen"/>
      <selection pane="topRight" activeCell="B1" sqref="B1"/>
      <selection pane="bottomLeft" activeCell="A6" sqref="A6"/>
      <selection pane="bottomRight" activeCell="N21" sqref="N21"/>
    </sheetView>
  </sheetViews>
  <sheetFormatPr defaultRowHeight="14.4" x14ac:dyDescent="0.3"/>
  <cols>
    <col min="8" max="8" width="11.5546875" bestFit="1" customWidth="1"/>
    <col min="36" max="36" width="12" bestFit="1" customWidth="1"/>
  </cols>
  <sheetData>
    <row r="1" spans="1:36" x14ac:dyDescent="0.3">
      <c r="A1" s="5" t="s">
        <v>3</v>
      </c>
    </row>
    <row r="2" spans="1:36" x14ac:dyDescent="0.3">
      <c r="A2" s="2"/>
    </row>
    <row r="3" spans="1:36" x14ac:dyDescent="0.3">
      <c r="H3" s="13">
        <f>(SUM(B16:F16,H16:AI16)*SUM(G17:G120,G7:G15))/SUM(B7:F120,H7:AI120,G7:G15,G17:G120)</f>
        <v>5.3746436410506471E-2</v>
      </c>
    </row>
    <row r="4" spans="1:36" x14ac:dyDescent="0.3">
      <c r="A4" t="s">
        <v>6</v>
      </c>
    </row>
    <row r="5" spans="1:36" x14ac:dyDescent="0.3">
      <c r="A5" t="s">
        <v>0</v>
      </c>
      <c r="B5">
        <v>1988</v>
      </c>
      <c r="C5">
        <v>1989</v>
      </c>
      <c r="D5">
        <v>1990</v>
      </c>
      <c r="E5">
        <v>1991</v>
      </c>
      <c r="F5">
        <v>1992</v>
      </c>
      <c r="G5">
        <v>1993</v>
      </c>
      <c r="H5">
        <v>1994</v>
      </c>
      <c r="I5">
        <v>1995</v>
      </c>
      <c r="J5">
        <v>1996</v>
      </c>
      <c r="K5">
        <v>1997</v>
      </c>
      <c r="L5">
        <v>1998</v>
      </c>
      <c r="M5">
        <v>1999</v>
      </c>
      <c r="N5">
        <v>2000</v>
      </c>
      <c r="O5">
        <v>2001</v>
      </c>
      <c r="P5">
        <v>2002</v>
      </c>
      <c r="Q5">
        <v>2003</v>
      </c>
      <c r="R5">
        <v>2004</v>
      </c>
      <c r="S5">
        <v>2005</v>
      </c>
      <c r="T5">
        <v>2006</v>
      </c>
      <c r="U5">
        <v>2007</v>
      </c>
      <c r="V5">
        <v>2008</v>
      </c>
      <c r="W5">
        <v>2009</v>
      </c>
      <c r="X5">
        <v>2010</v>
      </c>
      <c r="Y5">
        <v>2011</v>
      </c>
      <c r="Z5">
        <v>2012</v>
      </c>
      <c r="AA5">
        <v>2013</v>
      </c>
      <c r="AB5">
        <v>2014</v>
      </c>
      <c r="AC5">
        <v>2015</v>
      </c>
      <c r="AD5">
        <v>2016</v>
      </c>
      <c r="AE5">
        <v>2017</v>
      </c>
      <c r="AF5">
        <v>2018</v>
      </c>
      <c r="AG5">
        <v>2019</v>
      </c>
      <c r="AH5">
        <v>2020</v>
      </c>
      <c r="AI5">
        <v>2021</v>
      </c>
    </row>
    <row r="6" spans="1:36" x14ac:dyDescent="0.3">
      <c r="A6" s="3">
        <v>121</v>
      </c>
      <c r="Q6">
        <v>0</v>
      </c>
      <c r="S6">
        <v>0</v>
      </c>
      <c r="T6">
        <v>0</v>
      </c>
    </row>
    <row r="7" spans="1:36" x14ac:dyDescent="0.3">
      <c r="A7" s="3">
        <v>122</v>
      </c>
      <c r="F7">
        <v>0</v>
      </c>
      <c r="O7">
        <v>0</v>
      </c>
      <c r="Q7">
        <v>0</v>
      </c>
      <c r="S7">
        <v>0</v>
      </c>
      <c r="T7">
        <v>0</v>
      </c>
      <c r="AD7">
        <v>0</v>
      </c>
      <c r="AI7">
        <v>0</v>
      </c>
    </row>
    <row r="8" spans="1:36" x14ac:dyDescent="0.3">
      <c r="A8" s="3">
        <v>123</v>
      </c>
      <c r="F8">
        <v>0</v>
      </c>
      <c r="O8">
        <v>0</v>
      </c>
      <c r="Q8">
        <v>0</v>
      </c>
      <c r="S8">
        <v>0</v>
      </c>
      <c r="T8">
        <v>0</v>
      </c>
      <c r="AD8">
        <v>0</v>
      </c>
      <c r="AI8">
        <v>0</v>
      </c>
    </row>
    <row r="9" spans="1:36" x14ac:dyDescent="0.3">
      <c r="A9" s="3">
        <v>124</v>
      </c>
      <c r="F9">
        <v>0</v>
      </c>
      <c r="L9">
        <v>0</v>
      </c>
      <c r="O9">
        <v>0</v>
      </c>
      <c r="Q9">
        <v>0</v>
      </c>
      <c r="S9">
        <v>0</v>
      </c>
      <c r="T9">
        <v>0</v>
      </c>
      <c r="AD9">
        <v>0</v>
      </c>
      <c r="AI9">
        <v>0</v>
      </c>
    </row>
    <row r="10" spans="1:36" x14ac:dyDescent="0.3">
      <c r="A10" s="3">
        <v>125</v>
      </c>
      <c r="F10">
        <v>0</v>
      </c>
      <c r="K10">
        <v>0</v>
      </c>
      <c r="L10">
        <v>0</v>
      </c>
      <c r="O10">
        <v>0</v>
      </c>
      <c r="Q10">
        <v>0</v>
      </c>
      <c r="S10">
        <v>0</v>
      </c>
      <c r="T10">
        <v>0</v>
      </c>
      <c r="AD10">
        <v>0</v>
      </c>
      <c r="AG10">
        <v>0</v>
      </c>
      <c r="AI10">
        <v>0</v>
      </c>
    </row>
    <row r="11" spans="1:36" x14ac:dyDescent="0.3">
      <c r="A11" s="3">
        <v>126</v>
      </c>
      <c r="F11">
        <v>0</v>
      </c>
      <c r="K11">
        <v>0</v>
      </c>
      <c r="L11">
        <v>0</v>
      </c>
      <c r="O11">
        <v>0</v>
      </c>
      <c r="Q11">
        <v>0</v>
      </c>
      <c r="S11">
        <v>0</v>
      </c>
      <c r="T11">
        <v>0</v>
      </c>
      <c r="Y11">
        <v>0</v>
      </c>
      <c r="AB11">
        <v>0</v>
      </c>
      <c r="AD11">
        <v>0</v>
      </c>
      <c r="AE11">
        <v>0</v>
      </c>
      <c r="AG11">
        <v>0</v>
      </c>
      <c r="AI11">
        <v>0</v>
      </c>
    </row>
    <row r="12" spans="1:36" x14ac:dyDescent="0.3">
      <c r="A12" s="3">
        <v>127</v>
      </c>
      <c r="F12">
        <v>0</v>
      </c>
      <c r="J12">
        <v>0</v>
      </c>
      <c r="K12">
        <v>0</v>
      </c>
      <c r="L12">
        <v>0</v>
      </c>
      <c r="O12">
        <v>0</v>
      </c>
      <c r="Q12">
        <v>0</v>
      </c>
      <c r="S12">
        <v>0</v>
      </c>
      <c r="T12">
        <v>0</v>
      </c>
      <c r="Y12">
        <v>0</v>
      </c>
      <c r="AB12">
        <v>0</v>
      </c>
      <c r="AC12">
        <v>0</v>
      </c>
      <c r="AD12">
        <v>0</v>
      </c>
      <c r="AE12">
        <v>0</v>
      </c>
      <c r="AG12">
        <v>0</v>
      </c>
      <c r="AI12">
        <v>0</v>
      </c>
    </row>
    <row r="13" spans="1:36" x14ac:dyDescent="0.3">
      <c r="A13" s="3">
        <v>128</v>
      </c>
      <c r="D13">
        <v>0</v>
      </c>
      <c r="F13">
        <v>0</v>
      </c>
      <c r="I13">
        <v>0</v>
      </c>
      <c r="J13">
        <v>0</v>
      </c>
      <c r="K13">
        <v>0</v>
      </c>
      <c r="L13">
        <v>0</v>
      </c>
      <c r="O13">
        <v>0</v>
      </c>
      <c r="Q13">
        <v>0</v>
      </c>
      <c r="S13">
        <v>0</v>
      </c>
      <c r="T13">
        <v>0</v>
      </c>
      <c r="X13">
        <v>0</v>
      </c>
      <c r="Y13">
        <v>0</v>
      </c>
      <c r="AB13">
        <v>0</v>
      </c>
      <c r="AC13">
        <v>0</v>
      </c>
      <c r="AD13">
        <v>0</v>
      </c>
      <c r="AE13">
        <v>0</v>
      </c>
      <c r="AG13">
        <v>0</v>
      </c>
      <c r="AI13">
        <v>0</v>
      </c>
    </row>
    <row r="14" spans="1:36" x14ac:dyDescent="0.3">
      <c r="A14" s="3">
        <v>129</v>
      </c>
      <c r="D14">
        <v>0</v>
      </c>
      <c r="E14">
        <v>0</v>
      </c>
      <c r="F14">
        <v>0</v>
      </c>
      <c r="I14">
        <v>0</v>
      </c>
      <c r="J14">
        <v>0</v>
      </c>
      <c r="K14">
        <v>0</v>
      </c>
      <c r="L14">
        <v>0</v>
      </c>
      <c r="M14">
        <v>0</v>
      </c>
      <c r="N14">
        <v>0</v>
      </c>
      <c r="O14">
        <v>0</v>
      </c>
      <c r="Q14">
        <v>0</v>
      </c>
      <c r="R14">
        <v>0</v>
      </c>
      <c r="S14">
        <v>0</v>
      </c>
      <c r="T14">
        <v>0</v>
      </c>
      <c r="W14">
        <v>0</v>
      </c>
      <c r="X14">
        <v>0</v>
      </c>
      <c r="Y14">
        <v>0</v>
      </c>
      <c r="AB14">
        <v>0</v>
      </c>
      <c r="AC14">
        <v>0</v>
      </c>
      <c r="AD14">
        <v>0</v>
      </c>
      <c r="AE14">
        <v>0</v>
      </c>
      <c r="AG14">
        <v>0</v>
      </c>
      <c r="AI14">
        <v>0</v>
      </c>
    </row>
    <row r="15" spans="1:36" x14ac:dyDescent="0.3">
      <c r="A15" s="3">
        <v>130</v>
      </c>
      <c r="C15" s="11"/>
      <c r="D15" s="11">
        <v>0</v>
      </c>
      <c r="E15">
        <v>0</v>
      </c>
      <c r="F15">
        <v>0</v>
      </c>
      <c r="G15" s="11"/>
      <c r="I15">
        <v>0</v>
      </c>
      <c r="J15">
        <v>0</v>
      </c>
      <c r="K15">
        <v>0</v>
      </c>
      <c r="L15">
        <v>0</v>
      </c>
      <c r="M15">
        <v>0</v>
      </c>
      <c r="N15">
        <v>0</v>
      </c>
      <c r="O15">
        <v>0</v>
      </c>
      <c r="P15">
        <v>0</v>
      </c>
      <c r="Q15">
        <v>0</v>
      </c>
      <c r="R15">
        <v>0</v>
      </c>
      <c r="S15">
        <v>0</v>
      </c>
      <c r="T15">
        <v>0</v>
      </c>
      <c r="U15">
        <v>0</v>
      </c>
      <c r="W15">
        <v>0</v>
      </c>
      <c r="X15">
        <v>0</v>
      </c>
      <c r="Y15">
        <v>0</v>
      </c>
      <c r="AB15">
        <v>1</v>
      </c>
      <c r="AC15">
        <v>0</v>
      </c>
      <c r="AD15">
        <v>0</v>
      </c>
      <c r="AE15">
        <v>0</v>
      </c>
      <c r="AG15">
        <v>0</v>
      </c>
      <c r="AI15">
        <v>0</v>
      </c>
      <c r="AJ15" s="12">
        <f>SUM(B15:AI15)/SUM(B120:AI120)</f>
        <v>4.3267136057403373E-7</v>
      </c>
    </row>
    <row r="16" spans="1:36" x14ac:dyDescent="0.3">
      <c r="A16" s="3">
        <v>131</v>
      </c>
      <c r="D16">
        <v>0</v>
      </c>
      <c r="E16">
        <v>0</v>
      </c>
      <c r="F16">
        <v>0</v>
      </c>
      <c r="I16">
        <v>0</v>
      </c>
      <c r="J16">
        <v>0</v>
      </c>
      <c r="K16">
        <v>0</v>
      </c>
      <c r="L16">
        <v>0</v>
      </c>
      <c r="M16">
        <v>0</v>
      </c>
      <c r="N16">
        <v>0</v>
      </c>
      <c r="O16">
        <v>0</v>
      </c>
      <c r="P16">
        <v>0</v>
      </c>
      <c r="Q16">
        <v>0</v>
      </c>
      <c r="R16">
        <v>0</v>
      </c>
      <c r="S16">
        <v>0</v>
      </c>
      <c r="T16">
        <v>0</v>
      </c>
      <c r="U16">
        <v>0</v>
      </c>
      <c r="V16">
        <v>0</v>
      </c>
      <c r="W16">
        <v>0</v>
      </c>
      <c r="X16">
        <v>0</v>
      </c>
      <c r="Y16">
        <v>0</v>
      </c>
      <c r="AB16">
        <v>2</v>
      </c>
      <c r="AC16">
        <v>0</v>
      </c>
      <c r="AD16">
        <v>0</v>
      </c>
      <c r="AE16">
        <v>0</v>
      </c>
      <c r="AG16">
        <v>0</v>
      </c>
      <c r="AI16">
        <v>0</v>
      </c>
    </row>
    <row r="17" spans="1:35" x14ac:dyDescent="0.3">
      <c r="A17" s="3">
        <v>132</v>
      </c>
      <c r="D17">
        <v>0</v>
      </c>
      <c r="E17">
        <v>0</v>
      </c>
      <c r="F17">
        <v>0</v>
      </c>
      <c r="I17">
        <v>0</v>
      </c>
      <c r="J17">
        <v>0</v>
      </c>
      <c r="K17">
        <v>0</v>
      </c>
      <c r="L17">
        <v>0</v>
      </c>
      <c r="M17">
        <v>0</v>
      </c>
      <c r="N17">
        <v>0</v>
      </c>
      <c r="O17">
        <v>0</v>
      </c>
      <c r="P17">
        <v>0</v>
      </c>
      <c r="Q17">
        <v>0</v>
      </c>
      <c r="R17">
        <v>0</v>
      </c>
      <c r="S17">
        <v>0</v>
      </c>
      <c r="T17">
        <v>0</v>
      </c>
      <c r="U17">
        <v>0</v>
      </c>
      <c r="V17">
        <v>0</v>
      </c>
      <c r="W17">
        <v>0</v>
      </c>
      <c r="X17">
        <v>0</v>
      </c>
      <c r="Y17">
        <v>0</v>
      </c>
      <c r="AB17">
        <v>1</v>
      </c>
      <c r="AC17">
        <v>0</v>
      </c>
      <c r="AD17">
        <v>0</v>
      </c>
      <c r="AE17">
        <v>0</v>
      </c>
      <c r="AG17">
        <v>0</v>
      </c>
      <c r="AI17">
        <v>0</v>
      </c>
    </row>
    <row r="18" spans="1:35" x14ac:dyDescent="0.3">
      <c r="A18" s="3">
        <v>133</v>
      </c>
      <c r="D18">
        <v>0</v>
      </c>
      <c r="E18">
        <v>0</v>
      </c>
      <c r="F18">
        <v>0</v>
      </c>
      <c r="I18">
        <v>0</v>
      </c>
      <c r="J18">
        <v>0</v>
      </c>
      <c r="K18">
        <v>0</v>
      </c>
      <c r="L18">
        <v>0</v>
      </c>
      <c r="M18">
        <v>0</v>
      </c>
      <c r="N18">
        <v>0</v>
      </c>
      <c r="O18">
        <v>0</v>
      </c>
      <c r="P18">
        <v>0</v>
      </c>
      <c r="Q18">
        <v>0</v>
      </c>
      <c r="R18">
        <v>0</v>
      </c>
      <c r="S18">
        <v>0</v>
      </c>
      <c r="T18">
        <v>0</v>
      </c>
      <c r="U18">
        <v>0</v>
      </c>
      <c r="V18">
        <v>0</v>
      </c>
      <c r="W18">
        <v>0</v>
      </c>
      <c r="X18">
        <v>0</v>
      </c>
      <c r="Y18">
        <v>0</v>
      </c>
      <c r="AB18">
        <v>0</v>
      </c>
      <c r="AC18">
        <v>0</v>
      </c>
      <c r="AD18">
        <v>0</v>
      </c>
      <c r="AE18">
        <v>0</v>
      </c>
      <c r="AG18">
        <v>0</v>
      </c>
      <c r="AI18">
        <v>0</v>
      </c>
    </row>
    <row r="19" spans="1:35" x14ac:dyDescent="0.3">
      <c r="A19" s="3">
        <v>134</v>
      </c>
      <c r="D19">
        <v>0</v>
      </c>
      <c r="E19">
        <v>0</v>
      </c>
      <c r="F19">
        <v>0</v>
      </c>
      <c r="I19">
        <v>0</v>
      </c>
      <c r="J19">
        <v>0</v>
      </c>
      <c r="K19">
        <v>0</v>
      </c>
      <c r="L19">
        <v>0</v>
      </c>
      <c r="M19">
        <v>0</v>
      </c>
      <c r="N19">
        <v>0</v>
      </c>
      <c r="O19">
        <v>0</v>
      </c>
      <c r="P19">
        <v>0</v>
      </c>
      <c r="Q19">
        <v>0</v>
      </c>
      <c r="R19">
        <v>0</v>
      </c>
      <c r="S19">
        <v>0</v>
      </c>
      <c r="T19">
        <v>0</v>
      </c>
      <c r="U19">
        <v>0</v>
      </c>
      <c r="V19">
        <v>0</v>
      </c>
      <c r="W19">
        <v>0</v>
      </c>
      <c r="X19">
        <v>0</v>
      </c>
      <c r="Y19">
        <v>0</v>
      </c>
      <c r="AB19">
        <v>1</v>
      </c>
      <c r="AC19">
        <v>0</v>
      </c>
      <c r="AD19">
        <v>0</v>
      </c>
      <c r="AE19">
        <v>0</v>
      </c>
      <c r="AG19">
        <v>0</v>
      </c>
      <c r="AH19">
        <v>0</v>
      </c>
      <c r="AI19">
        <v>0</v>
      </c>
    </row>
    <row r="20" spans="1:35" x14ac:dyDescent="0.3">
      <c r="A20" s="3">
        <v>135</v>
      </c>
      <c r="D20">
        <v>0</v>
      </c>
      <c r="E20">
        <v>0</v>
      </c>
      <c r="F20">
        <v>0</v>
      </c>
      <c r="I20">
        <v>0</v>
      </c>
      <c r="J20">
        <v>0</v>
      </c>
      <c r="K20">
        <v>0</v>
      </c>
      <c r="L20">
        <v>0</v>
      </c>
      <c r="M20">
        <v>0</v>
      </c>
      <c r="N20">
        <v>0</v>
      </c>
      <c r="O20">
        <v>0</v>
      </c>
      <c r="P20">
        <v>0</v>
      </c>
      <c r="Q20">
        <v>0</v>
      </c>
      <c r="R20">
        <v>0</v>
      </c>
      <c r="S20">
        <v>0</v>
      </c>
      <c r="T20">
        <v>0</v>
      </c>
      <c r="U20">
        <v>0</v>
      </c>
      <c r="V20">
        <v>0</v>
      </c>
      <c r="W20">
        <v>0</v>
      </c>
      <c r="X20">
        <v>0</v>
      </c>
      <c r="Y20">
        <v>3</v>
      </c>
      <c r="AB20">
        <v>0</v>
      </c>
      <c r="AC20">
        <v>0</v>
      </c>
      <c r="AD20">
        <v>0</v>
      </c>
      <c r="AE20">
        <v>0</v>
      </c>
      <c r="AG20">
        <v>0</v>
      </c>
      <c r="AH20">
        <v>0</v>
      </c>
      <c r="AI20">
        <v>0</v>
      </c>
    </row>
    <row r="21" spans="1:35" x14ac:dyDescent="0.3">
      <c r="A21" s="3">
        <v>136</v>
      </c>
      <c r="D21">
        <v>0</v>
      </c>
      <c r="E21">
        <v>0</v>
      </c>
      <c r="F21">
        <v>0</v>
      </c>
      <c r="I21">
        <v>0</v>
      </c>
      <c r="J21">
        <v>0</v>
      </c>
      <c r="K21">
        <v>0</v>
      </c>
      <c r="L21">
        <v>0</v>
      </c>
      <c r="M21">
        <v>0</v>
      </c>
      <c r="N21">
        <v>0</v>
      </c>
      <c r="O21">
        <v>0</v>
      </c>
      <c r="P21">
        <v>0</v>
      </c>
      <c r="Q21">
        <v>0</v>
      </c>
      <c r="R21">
        <v>0</v>
      </c>
      <c r="S21">
        <v>0</v>
      </c>
      <c r="T21">
        <v>0</v>
      </c>
      <c r="U21">
        <v>0</v>
      </c>
      <c r="V21">
        <v>0</v>
      </c>
      <c r="W21">
        <v>5</v>
      </c>
      <c r="X21">
        <v>0</v>
      </c>
      <c r="Y21">
        <v>0</v>
      </c>
      <c r="AB21">
        <v>0</v>
      </c>
      <c r="AC21">
        <v>0</v>
      </c>
      <c r="AD21">
        <v>0</v>
      </c>
      <c r="AE21">
        <v>0</v>
      </c>
      <c r="AG21">
        <v>0</v>
      </c>
      <c r="AH21">
        <v>0</v>
      </c>
      <c r="AI21">
        <v>0</v>
      </c>
    </row>
    <row r="22" spans="1:35" x14ac:dyDescent="0.3">
      <c r="A22" s="3">
        <v>137</v>
      </c>
      <c r="D22">
        <v>0</v>
      </c>
      <c r="E22">
        <v>0</v>
      </c>
      <c r="F22">
        <v>0</v>
      </c>
      <c r="I22">
        <v>0</v>
      </c>
      <c r="J22">
        <v>0</v>
      </c>
      <c r="K22">
        <v>0</v>
      </c>
      <c r="L22">
        <v>0</v>
      </c>
      <c r="M22">
        <v>0</v>
      </c>
      <c r="N22">
        <v>0</v>
      </c>
      <c r="O22">
        <v>0</v>
      </c>
      <c r="P22">
        <v>0</v>
      </c>
      <c r="Q22">
        <v>0</v>
      </c>
      <c r="R22">
        <v>0</v>
      </c>
      <c r="S22">
        <v>0</v>
      </c>
      <c r="T22">
        <v>0</v>
      </c>
      <c r="U22">
        <v>0</v>
      </c>
      <c r="V22">
        <v>0</v>
      </c>
      <c r="W22">
        <v>0</v>
      </c>
      <c r="X22">
        <v>0</v>
      </c>
      <c r="Y22">
        <v>0</v>
      </c>
      <c r="AB22">
        <v>2</v>
      </c>
      <c r="AC22">
        <v>0</v>
      </c>
      <c r="AD22">
        <v>0</v>
      </c>
      <c r="AE22">
        <v>0</v>
      </c>
      <c r="AG22">
        <v>0</v>
      </c>
      <c r="AH22">
        <v>0</v>
      </c>
      <c r="AI22">
        <v>0</v>
      </c>
    </row>
    <row r="23" spans="1:35" x14ac:dyDescent="0.3">
      <c r="A23" s="3">
        <v>138</v>
      </c>
      <c r="D23">
        <v>0</v>
      </c>
      <c r="E23">
        <v>0</v>
      </c>
      <c r="F23">
        <v>0</v>
      </c>
      <c r="I23">
        <v>0</v>
      </c>
      <c r="J23">
        <v>0</v>
      </c>
      <c r="K23">
        <v>0</v>
      </c>
      <c r="L23">
        <v>0</v>
      </c>
      <c r="M23">
        <v>0</v>
      </c>
      <c r="N23">
        <v>0</v>
      </c>
      <c r="O23">
        <v>0</v>
      </c>
      <c r="P23">
        <v>0</v>
      </c>
      <c r="Q23">
        <v>0</v>
      </c>
      <c r="R23">
        <v>0</v>
      </c>
      <c r="S23">
        <v>0</v>
      </c>
      <c r="T23">
        <v>0</v>
      </c>
      <c r="U23">
        <v>0</v>
      </c>
      <c r="V23">
        <v>0</v>
      </c>
      <c r="W23">
        <v>0</v>
      </c>
      <c r="X23">
        <v>0</v>
      </c>
      <c r="Y23">
        <v>0</v>
      </c>
      <c r="AB23">
        <v>0</v>
      </c>
      <c r="AC23">
        <v>0</v>
      </c>
      <c r="AD23">
        <v>0</v>
      </c>
      <c r="AE23">
        <v>0</v>
      </c>
      <c r="AG23">
        <v>0</v>
      </c>
      <c r="AH23">
        <v>0</v>
      </c>
      <c r="AI23">
        <v>0</v>
      </c>
    </row>
    <row r="24" spans="1:35" x14ac:dyDescent="0.3">
      <c r="A24" s="3">
        <v>139</v>
      </c>
      <c r="D24">
        <v>0</v>
      </c>
      <c r="E24">
        <v>0</v>
      </c>
      <c r="F24">
        <v>0</v>
      </c>
      <c r="I24">
        <v>0</v>
      </c>
      <c r="J24">
        <v>0</v>
      </c>
      <c r="K24">
        <v>0</v>
      </c>
      <c r="L24">
        <v>0</v>
      </c>
      <c r="M24">
        <v>0</v>
      </c>
      <c r="N24">
        <v>0</v>
      </c>
      <c r="O24">
        <v>0</v>
      </c>
      <c r="P24">
        <v>0</v>
      </c>
      <c r="Q24">
        <v>0</v>
      </c>
      <c r="R24">
        <v>0</v>
      </c>
      <c r="S24">
        <v>0</v>
      </c>
      <c r="T24">
        <v>0</v>
      </c>
      <c r="U24">
        <v>0</v>
      </c>
      <c r="V24">
        <v>0</v>
      </c>
      <c r="W24">
        <v>0</v>
      </c>
      <c r="X24">
        <v>0</v>
      </c>
      <c r="Y24">
        <v>0</v>
      </c>
      <c r="Z24">
        <v>0</v>
      </c>
      <c r="AB24">
        <v>0</v>
      </c>
      <c r="AC24">
        <v>0</v>
      </c>
      <c r="AD24">
        <v>0</v>
      </c>
      <c r="AE24">
        <v>0</v>
      </c>
      <c r="AG24">
        <v>0</v>
      </c>
      <c r="AH24">
        <v>0</v>
      </c>
      <c r="AI24">
        <v>0</v>
      </c>
    </row>
    <row r="25" spans="1:35" x14ac:dyDescent="0.3">
      <c r="A25" s="3">
        <v>140</v>
      </c>
      <c r="D25">
        <v>0</v>
      </c>
      <c r="E25">
        <v>0</v>
      </c>
      <c r="F25">
        <v>0</v>
      </c>
      <c r="I25">
        <v>0</v>
      </c>
      <c r="J25">
        <v>0</v>
      </c>
      <c r="K25">
        <v>0</v>
      </c>
      <c r="L25">
        <v>0</v>
      </c>
      <c r="M25">
        <v>0</v>
      </c>
      <c r="N25">
        <v>0</v>
      </c>
      <c r="O25">
        <v>0</v>
      </c>
      <c r="P25">
        <v>0</v>
      </c>
      <c r="Q25">
        <v>0</v>
      </c>
      <c r="R25">
        <v>0</v>
      </c>
      <c r="S25">
        <v>0</v>
      </c>
      <c r="T25">
        <v>0</v>
      </c>
      <c r="U25">
        <v>0</v>
      </c>
      <c r="V25">
        <v>0</v>
      </c>
      <c r="W25">
        <v>0</v>
      </c>
      <c r="X25">
        <v>0</v>
      </c>
      <c r="Y25">
        <v>0</v>
      </c>
      <c r="Z25">
        <v>0</v>
      </c>
      <c r="AB25">
        <v>0</v>
      </c>
      <c r="AC25">
        <v>0</v>
      </c>
      <c r="AD25">
        <v>1</v>
      </c>
      <c r="AE25">
        <v>0</v>
      </c>
      <c r="AG25">
        <v>0</v>
      </c>
      <c r="AH25">
        <v>0</v>
      </c>
      <c r="AI25">
        <v>0</v>
      </c>
    </row>
    <row r="26" spans="1:35" x14ac:dyDescent="0.3">
      <c r="A26" s="3">
        <v>141</v>
      </c>
      <c r="D26">
        <v>0</v>
      </c>
      <c r="E26">
        <v>0</v>
      </c>
      <c r="F26">
        <v>0</v>
      </c>
      <c r="H26">
        <v>0</v>
      </c>
      <c r="I26">
        <v>0</v>
      </c>
      <c r="J26">
        <v>0</v>
      </c>
      <c r="K26">
        <v>0</v>
      </c>
      <c r="L26">
        <v>0</v>
      </c>
      <c r="M26">
        <v>0</v>
      </c>
      <c r="N26">
        <v>0</v>
      </c>
      <c r="O26">
        <v>0</v>
      </c>
      <c r="P26">
        <v>0</v>
      </c>
      <c r="Q26">
        <v>0</v>
      </c>
      <c r="R26">
        <v>0</v>
      </c>
      <c r="S26">
        <v>0</v>
      </c>
      <c r="T26">
        <v>0</v>
      </c>
      <c r="U26">
        <v>0</v>
      </c>
      <c r="V26">
        <v>0</v>
      </c>
      <c r="W26">
        <v>0</v>
      </c>
      <c r="X26">
        <v>0</v>
      </c>
      <c r="Y26">
        <v>0</v>
      </c>
      <c r="Z26">
        <v>0</v>
      </c>
      <c r="AB26">
        <v>4</v>
      </c>
      <c r="AC26">
        <v>0</v>
      </c>
      <c r="AD26">
        <v>0</v>
      </c>
      <c r="AE26">
        <v>0</v>
      </c>
      <c r="AG26">
        <v>0</v>
      </c>
      <c r="AH26">
        <v>0</v>
      </c>
      <c r="AI26">
        <v>0</v>
      </c>
    </row>
    <row r="27" spans="1:35" x14ac:dyDescent="0.3">
      <c r="A27" s="3">
        <v>142</v>
      </c>
      <c r="D27">
        <v>0</v>
      </c>
      <c r="E27">
        <v>0</v>
      </c>
      <c r="F27">
        <v>0</v>
      </c>
      <c r="H27">
        <v>0</v>
      </c>
      <c r="I27">
        <v>0</v>
      </c>
      <c r="J27">
        <v>0</v>
      </c>
      <c r="K27">
        <v>0</v>
      </c>
      <c r="L27">
        <v>0</v>
      </c>
      <c r="M27">
        <v>0</v>
      </c>
      <c r="N27">
        <v>0</v>
      </c>
      <c r="O27">
        <v>0</v>
      </c>
      <c r="P27">
        <v>0</v>
      </c>
      <c r="Q27">
        <v>0</v>
      </c>
      <c r="R27">
        <v>0</v>
      </c>
      <c r="S27">
        <v>0</v>
      </c>
      <c r="T27">
        <v>0</v>
      </c>
      <c r="U27">
        <v>0</v>
      </c>
      <c r="V27">
        <v>0</v>
      </c>
      <c r="W27">
        <v>0</v>
      </c>
      <c r="X27">
        <v>0</v>
      </c>
      <c r="Y27">
        <v>0</v>
      </c>
      <c r="Z27">
        <v>0</v>
      </c>
      <c r="AB27">
        <v>0</v>
      </c>
      <c r="AC27">
        <v>2</v>
      </c>
      <c r="AD27">
        <v>0</v>
      </c>
      <c r="AE27">
        <v>0</v>
      </c>
      <c r="AG27">
        <v>0</v>
      </c>
      <c r="AH27">
        <v>0</v>
      </c>
      <c r="AI27">
        <v>0</v>
      </c>
    </row>
    <row r="28" spans="1:35" x14ac:dyDescent="0.3">
      <c r="A28" s="3">
        <v>143</v>
      </c>
      <c r="D28">
        <v>0</v>
      </c>
      <c r="E28">
        <v>0</v>
      </c>
      <c r="F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row>
    <row r="29" spans="1:35" x14ac:dyDescent="0.3">
      <c r="A29" s="3">
        <v>144</v>
      </c>
      <c r="D29">
        <v>0</v>
      </c>
      <c r="E29">
        <v>0</v>
      </c>
      <c r="F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1</v>
      </c>
      <c r="AD29">
        <v>0</v>
      </c>
      <c r="AE29">
        <v>0</v>
      </c>
      <c r="AF29">
        <v>0</v>
      </c>
      <c r="AG29">
        <v>0</v>
      </c>
      <c r="AH29">
        <v>0</v>
      </c>
      <c r="AI29">
        <v>0</v>
      </c>
    </row>
    <row r="30" spans="1:35" x14ac:dyDescent="0.3">
      <c r="A30" s="3">
        <v>145</v>
      </c>
      <c r="C30" s="11"/>
      <c r="D30">
        <v>0</v>
      </c>
      <c r="E30">
        <v>0</v>
      </c>
      <c r="F30">
        <v>0</v>
      </c>
      <c r="H30">
        <v>0</v>
      </c>
      <c r="I30">
        <v>0</v>
      </c>
      <c r="J30">
        <v>0</v>
      </c>
      <c r="K30">
        <v>0</v>
      </c>
      <c r="L30">
        <v>3</v>
      </c>
      <c r="M30">
        <v>0</v>
      </c>
      <c r="N30">
        <v>0</v>
      </c>
      <c r="O30">
        <v>3</v>
      </c>
      <c r="P30">
        <v>0</v>
      </c>
      <c r="Q30">
        <v>0</v>
      </c>
      <c r="R30">
        <v>0</v>
      </c>
      <c r="S30">
        <v>154</v>
      </c>
      <c r="T30">
        <v>0</v>
      </c>
      <c r="U30">
        <v>0</v>
      </c>
      <c r="V30">
        <v>0</v>
      </c>
      <c r="W30">
        <v>0</v>
      </c>
      <c r="X30">
        <v>0</v>
      </c>
      <c r="Y30">
        <v>0</v>
      </c>
      <c r="Z30">
        <v>0</v>
      </c>
      <c r="AA30">
        <v>0</v>
      </c>
      <c r="AB30">
        <v>0</v>
      </c>
      <c r="AC30">
        <v>0</v>
      </c>
      <c r="AD30">
        <v>0</v>
      </c>
      <c r="AE30">
        <v>3</v>
      </c>
      <c r="AF30">
        <v>0</v>
      </c>
      <c r="AG30">
        <v>0</v>
      </c>
      <c r="AH30">
        <v>0</v>
      </c>
      <c r="AI30">
        <v>0</v>
      </c>
    </row>
    <row r="31" spans="1:35" x14ac:dyDescent="0.3">
      <c r="A31" s="3">
        <v>146</v>
      </c>
      <c r="C31">
        <v>0</v>
      </c>
      <c r="D31">
        <v>0</v>
      </c>
      <c r="E31">
        <v>0</v>
      </c>
      <c r="F31">
        <v>0</v>
      </c>
      <c r="H31">
        <v>0</v>
      </c>
      <c r="I31">
        <v>0</v>
      </c>
      <c r="J31">
        <v>0</v>
      </c>
      <c r="K31">
        <v>0</v>
      </c>
      <c r="L31">
        <v>8</v>
      </c>
      <c r="M31">
        <v>0</v>
      </c>
      <c r="N31">
        <v>0</v>
      </c>
      <c r="O31">
        <v>2</v>
      </c>
      <c r="P31">
        <v>0</v>
      </c>
      <c r="Q31">
        <v>0</v>
      </c>
      <c r="R31">
        <v>0</v>
      </c>
      <c r="S31">
        <v>57</v>
      </c>
      <c r="T31">
        <v>0</v>
      </c>
      <c r="U31">
        <v>0</v>
      </c>
      <c r="V31">
        <v>0</v>
      </c>
      <c r="W31">
        <v>0</v>
      </c>
      <c r="X31">
        <v>0</v>
      </c>
      <c r="Y31">
        <v>0</v>
      </c>
      <c r="Z31">
        <v>0</v>
      </c>
      <c r="AA31">
        <v>5</v>
      </c>
      <c r="AB31">
        <v>0</v>
      </c>
      <c r="AC31">
        <v>3</v>
      </c>
      <c r="AD31">
        <v>0</v>
      </c>
      <c r="AE31">
        <v>91</v>
      </c>
      <c r="AF31">
        <v>0</v>
      </c>
      <c r="AG31">
        <v>0</v>
      </c>
      <c r="AH31">
        <v>0</v>
      </c>
      <c r="AI31">
        <v>0</v>
      </c>
    </row>
    <row r="32" spans="1:35" x14ac:dyDescent="0.3">
      <c r="A32" s="3">
        <v>147</v>
      </c>
      <c r="C32">
        <v>0</v>
      </c>
      <c r="D32">
        <v>0</v>
      </c>
      <c r="E32">
        <v>0</v>
      </c>
      <c r="F32">
        <v>0</v>
      </c>
      <c r="H32">
        <v>0</v>
      </c>
      <c r="I32">
        <v>0</v>
      </c>
      <c r="J32">
        <v>0</v>
      </c>
      <c r="K32">
        <v>0</v>
      </c>
      <c r="L32">
        <v>0</v>
      </c>
      <c r="M32">
        <v>0</v>
      </c>
      <c r="N32">
        <v>0</v>
      </c>
      <c r="O32">
        <v>11</v>
      </c>
      <c r="P32">
        <v>2</v>
      </c>
      <c r="Q32">
        <v>3</v>
      </c>
      <c r="R32">
        <v>0</v>
      </c>
      <c r="S32">
        <v>1028</v>
      </c>
      <c r="T32">
        <v>0</v>
      </c>
      <c r="U32">
        <v>0</v>
      </c>
      <c r="V32">
        <v>0</v>
      </c>
      <c r="W32">
        <v>0</v>
      </c>
      <c r="X32">
        <v>0</v>
      </c>
      <c r="Y32">
        <v>3</v>
      </c>
      <c r="Z32">
        <v>0</v>
      </c>
      <c r="AA32">
        <v>0</v>
      </c>
      <c r="AB32">
        <v>0</v>
      </c>
      <c r="AC32">
        <v>8</v>
      </c>
      <c r="AD32">
        <v>0</v>
      </c>
      <c r="AE32">
        <v>19</v>
      </c>
      <c r="AF32">
        <v>0</v>
      </c>
      <c r="AG32">
        <v>0</v>
      </c>
      <c r="AH32">
        <v>0</v>
      </c>
      <c r="AI32">
        <v>0</v>
      </c>
    </row>
    <row r="33" spans="1:35" x14ac:dyDescent="0.3">
      <c r="A33" s="3">
        <v>148</v>
      </c>
      <c r="C33">
        <v>0</v>
      </c>
      <c r="D33">
        <v>0</v>
      </c>
      <c r="E33">
        <v>0</v>
      </c>
      <c r="F33">
        <v>0</v>
      </c>
      <c r="H33">
        <v>0</v>
      </c>
      <c r="I33">
        <v>1</v>
      </c>
      <c r="J33">
        <v>0</v>
      </c>
      <c r="K33">
        <v>0</v>
      </c>
      <c r="L33">
        <v>0</v>
      </c>
      <c r="M33">
        <v>0</v>
      </c>
      <c r="N33">
        <v>0</v>
      </c>
      <c r="O33">
        <v>0</v>
      </c>
      <c r="P33">
        <v>2</v>
      </c>
      <c r="Q33">
        <v>9</v>
      </c>
      <c r="R33">
        <v>0</v>
      </c>
      <c r="S33">
        <v>101</v>
      </c>
      <c r="T33">
        <v>0</v>
      </c>
      <c r="U33">
        <v>0</v>
      </c>
      <c r="V33">
        <v>0</v>
      </c>
      <c r="W33">
        <v>0</v>
      </c>
      <c r="X33">
        <v>0</v>
      </c>
      <c r="Y33">
        <v>7</v>
      </c>
      <c r="Z33">
        <v>0</v>
      </c>
      <c r="AA33">
        <v>0</v>
      </c>
      <c r="AB33">
        <v>1</v>
      </c>
      <c r="AC33">
        <v>5</v>
      </c>
      <c r="AD33">
        <v>0</v>
      </c>
      <c r="AE33">
        <v>201</v>
      </c>
      <c r="AF33">
        <v>0</v>
      </c>
      <c r="AG33">
        <v>0</v>
      </c>
      <c r="AH33">
        <v>0</v>
      </c>
      <c r="AI33">
        <v>5</v>
      </c>
    </row>
    <row r="34" spans="1:35" x14ac:dyDescent="0.3">
      <c r="A34" s="3">
        <v>149</v>
      </c>
      <c r="C34">
        <v>0</v>
      </c>
      <c r="D34">
        <v>0</v>
      </c>
      <c r="E34">
        <v>0</v>
      </c>
      <c r="F34">
        <v>4</v>
      </c>
      <c r="H34">
        <v>0</v>
      </c>
      <c r="I34">
        <v>0</v>
      </c>
      <c r="J34">
        <v>0</v>
      </c>
      <c r="K34">
        <v>0</v>
      </c>
      <c r="L34">
        <v>0</v>
      </c>
      <c r="M34">
        <v>0</v>
      </c>
      <c r="N34">
        <v>0</v>
      </c>
      <c r="O34">
        <v>6</v>
      </c>
      <c r="P34">
        <v>0</v>
      </c>
      <c r="Q34">
        <v>0</v>
      </c>
      <c r="R34">
        <v>0</v>
      </c>
      <c r="S34">
        <v>727</v>
      </c>
      <c r="T34">
        <v>0</v>
      </c>
      <c r="U34">
        <v>0</v>
      </c>
      <c r="V34">
        <v>0</v>
      </c>
      <c r="W34">
        <v>0</v>
      </c>
      <c r="X34">
        <v>1</v>
      </c>
      <c r="Y34">
        <v>0</v>
      </c>
      <c r="Z34">
        <v>0</v>
      </c>
      <c r="AA34">
        <v>11</v>
      </c>
      <c r="AB34">
        <v>0</v>
      </c>
      <c r="AC34">
        <v>3</v>
      </c>
      <c r="AD34">
        <v>0</v>
      </c>
      <c r="AE34">
        <v>1</v>
      </c>
      <c r="AF34">
        <v>0</v>
      </c>
      <c r="AG34">
        <v>0</v>
      </c>
      <c r="AH34">
        <v>0</v>
      </c>
      <c r="AI34">
        <v>0</v>
      </c>
    </row>
    <row r="35" spans="1:35" x14ac:dyDescent="0.3">
      <c r="A35" s="3">
        <v>150</v>
      </c>
      <c r="C35">
        <v>0</v>
      </c>
      <c r="D35">
        <v>0</v>
      </c>
      <c r="E35">
        <v>0</v>
      </c>
      <c r="F35">
        <v>5</v>
      </c>
      <c r="H35">
        <v>7</v>
      </c>
      <c r="I35">
        <v>2</v>
      </c>
      <c r="J35">
        <v>0</v>
      </c>
      <c r="K35">
        <v>0</v>
      </c>
      <c r="L35">
        <v>0</v>
      </c>
      <c r="M35">
        <v>0</v>
      </c>
      <c r="N35">
        <v>1</v>
      </c>
      <c r="O35">
        <v>13</v>
      </c>
      <c r="P35">
        <v>5</v>
      </c>
      <c r="Q35">
        <v>15</v>
      </c>
      <c r="R35">
        <v>3</v>
      </c>
      <c r="S35">
        <v>946</v>
      </c>
      <c r="T35">
        <v>0</v>
      </c>
      <c r="U35">
        <v>1</v>
      </c>
      <c r="V35">
        <v>0</v>
      </c>
      <c r="W35">
        <v>0</v>
      </c>
      <c r="X35">
        <v>0</v>
      </c>
      <c r="Y35">
        <v>0</v>
      </c>
      <c r="Z35">
        <v>0</v>
      </c>
      <c r="AA35">
        <v>425</v>
      </c>
      <c r="AB35">
        <v>0</v>
      </c>
      <c r="AC35">
        <v>3</v>
      </c>
      <c r="AD35">
        <v>0</v>
      </c>
      <c r="AE35">
        <v>7</v>
      </c>
      <c r="AF35">
        <v>1</v>
      </c>
      <c r="AG35">
        <v>0</v>
      </c>
      <c r="AH35">
        <v>0</v>
      </c>
      <c r="AI35">
        <v>0</v>
      </c>
    </row>
    <row r="36" spans="1:35" x14ac:dyDescent="0.3">
      <c r="A36" s="3">
        <v>151</v>
      </c>
      <c r="C36">
        <v>11</v>
      </c>
      <c r="D36">
        <v>0</v>
      </c>
      <c r="E36">
        <v>0</v>
      </c>
      <c r="F36">
        <v>14</v>
      </c>
      <c r="H36">
        <v>14</v>
      </c>
      <c r="I36">
        <v>0</v>
      </c>
      <c r="J36">
        <v>0</v>
      </c>
      <c r="K36">
        <v>0</v>
      </c>
      <c r="L36">
        <v>10</v>
      </c>
      <c r="M36">
        <v>0</v>
      </c>
      <c r="N36">
        <v>1</v>
      </c>
      <c r="O36">
        <v>0</v>
      </c>
      <c r="P36">
        <v>19</v>
      </c>
      <c r="Q36">
        <v>8</v>
      </c>
      <c r="R36">
        <v>4</v>
      </c>
      <c r="S36">
        <v>741</v>
      </c>
      <c r="T36">
        <v>0</v>
      </c>
      <c r="U36">
        <v>0</v>
      </c>
      <c r="V36">
        <v>0</v>
      </c>
      <c r="W36">
        <v>5</v>
      </c>
      <c r="X36">
        <v>0</v>
      </c>
      <c r="Y36">
        <v>5</v>
      </c>
      <c r="Z36">
        <v>1</v>
      </c>
      <c r="AA36">
        <v>68</v>
      </c>
      <c r="AB36">
        <v>0</v>
      </c>
      <c r="AC36">
        <v>1</v>
      </c>
      <c r="AD36">
        <v>0</v>
      </c>
      <c r="AE36">
        <v>69</v>
      </c>
      <c r="AF36">
        <v>0</v>
      </c>
      <c r="AG36">
        <v>0</v>
      </c>
      <c r="AH36">
        <v>0</v>
      </c>
      <c r="AI36">
        <v>0</v>
      </c>
    </row>
    <row r="37" spans="1:35" x14ac:dyDescent="0.3">
      <c r="A37" s="3">
        <v>152</v>
      </c>
      <c r="C37">
        <v>5</v>
      </c>
      <c r="D37">
        <v>5</v>
      </c>
      <c r="E37">
        <v>0</v>
      </c>
      <c r="F37">
        <v>2</v>
      </c>
      <c r="H37">
        <v>9</v>
      </c>
      <c r="I37">
        <v>0</v>
      </c>
      <c r="J37">
        <v>0</v>
      </c>
      <c r="K37">
        <v>197</v>
      </c>
      <c r="L37">
        <v>9</v>
      </c>
      <c r="M37">
        <v>0</v>
      </c>
      <c r="N37">
        <v>0</v>
      </c>
      <c r="O37">
        <v>172</v>
      </c>
      <c r="P37">
        <v>28</v>
      </c>
      <c r="Q37">
        <v>1</v>
      </c>
      <c r="R37">
        <v>0</v>
      </c>
      <c r="S37">
        <v>1072</v>
      </c>
      <c r="T37">
        <v>0</v>
      </c>
      <c r="U37">
        <v>0</v>
      </c>
      <c r="V37">
        <v>0</v>
      </c>
      <c r="W37">
        <v>1311</v>
      </c>
      <c r="X37">
        <v>0</v>
      </c>
      <c r="Y37">
        <v>81</v>
      </c>
      <c r="Z37">
        <v>1</v>
      </c>
      <c r="AA37">
        <v>38</v>
      </c>
      <c r="AB37">
        <v>0</v>
      </c>
      <c r="AC37">
        <v>2</v>
      </c>
      <c r="AD37">
        <v>0</v>
      </c>
      <c r="AE37">
        <v>1719</v>
      </c>
      <c r="AF37">
        <v>0</v>
      </c>
      <c r="AG37">
        <v>1</v>
      </c>
      <c r="AH37">
        <v>0</v>
      </c>
      <c r="AI37">
        <v>0</v>
      </c>
    </row>
    <row r="38" spans="1:35" x14ac:dyDescent="0.3">
      <c r="A38" s="3">
        <v>153</v>
      </c>
      <c r="C38">
        <v>6</v>
      </c>
      <c r="D38">
        <v>1</v>
      </c>
      <c r="E38">
        <v>0</v>
      </c>
      <c r="F38">
        <v>2</v>
      </c>
      <c r="H38">
        <v>17</v>
      </c>
      <c r="I38">
        <v>0</v>
      </c>
      <c r="J38">
        <v>0</v>
      </c>
      <c r="K38">
        <v>344</v>
      </c>
      <c r="L38">
        <v>23</v>
      </c>
      <c r="M38">
        <v>3</v>
      </c>
      <c r="N38">
        <v>0</v>
      </c>
      <c r="O38">
        <v>5</v>
      </c>
      <c r="P38">
        <v>57</v>
      </c>
      <c r="Q38">
        <v>300</v>
      </c>
      <c r="R38">
        <v>7</v>
      </c>
      <c r="S38">
        <v>688</v>
      </c>
      <c r="T38">
        <v>0</v>
      </c>
      <c r="U38">
        <v>3</v>
      </c>
      <c r="V38">
        <v>0</v>
      </c>
      <c r="W38">
        <v>826</v>
      </c>
      <c r="X38">
        <v>2</v>
      </c>
      <c r="Y38">
        <v>1</v>
      </c>
      <c r="Z38">
        <v>1</v>
      </c>
      <c r="AA38">
        <v>265</v>
      </c>
      <c r="AB38">
        <v>0</v>
      </c>
      <c r="AC38">
        <v>0</v>
      </c>
      <c r="AD38">
        <v>0</v>
      </c>
      <c r="AE38">
        <v>4312</v>
      </c>
      <c r="AF38">
        <v>0</v>
      </c>
      <c r="AG38">
        <v>6</v>
      </c>
      <c r="AH38">
        <v>0</v>
      </c>
      <c r="AI38">
        <v>0</v>
      </c>
    </row>
    <row r="39" spans="1:35" x14ac:dyDescent="0.3">
      <c r="A39" s="3">
        <v>154</v>
      </c>
      <c r="C39">
        <v>7</v>
      </c>
      <c r="D39">
        <v>8</v>
      </c>
      <c r="E39">
        <v>0</v>
      </c>
      <c r="F39">
        <v>4</v>
      </c>
      <c r="H39">
        <v>16</v>
      </c>
      <c r="I39">
        <v>0</v>
      </c>
      <c r="J39">
        <v>0</v>
      </c>
      <c r="K39">
        <v>198</v>
      </c>
      <c r="L39">
        <v>0</v>
      </c>
      <c r="M39">
        <v>3</v>
      </c>
      <c r="N39">
        <v>0</v>
      </c>
      <c r="O39">
        <v>11</v>
      </c>
      <c r="P39">
        <v>0</v>
      </c>
      <c r="Q39">
        <v>183</v>
      </c>
      <c r="R39">
        <v>22</v>
      </c>
      <c r="S39">
        <v>1266</v>
      </c>
      <c r="T39">
        <v>0</v>
      </c>
      <c r="U39">
        <v>4</v>
      </c>
      <c r="V39">
        <v>0</v>
      </c>
      <c r="W39">
        <v>368</v>
      </c>
      <c r="X39">
        <v>4</v>
      </c>
      <c r="Y39">
        <v>10</v>
      </c>
      <c r="Z39">
        <v>0</v>
      </c>
      <c r="AA39">
        <v>11</v>
      </c>
      <c r="AB39">
        <v>0</v>
      </c>
      <c r="AC39">
        <v>0</v>
      </c>
      <c r="AD39">
        <v>0</v>
      </c>
      <c r="AE39">
        <v>3435</v>
      </c>
      <c r="AF39">
        <v>2</v>
      </c>
      <c r="AG39">
        <v>0</v>
      </c>
      <c r="AH39">
        <v>1</v>
      </c>
      <c r="AI39">
        <v>0</v>
      </c>
    </row>
    <row r="40" spans="1:35" x14ac:dyDescent="0.3">
      <c r="A40" s="3">
        <v>155</v>
      </c>
      <c r="C40">
        <v>33</v>
      </c>
      <c r="D40">
        <v>4</v>
      </c>
      <c r="E40">
        <v>0</v>
      </c>
      <c r="F40">
        <v>6</v>
      </c>
      <c r="H40">
        <v>69</v>
      </c>
      <c r="I40">
        <v>11</v>
      </c>
      <c r="J40">
        <v>0</v>
      </c>
      <c r="K40">
        <v>0</v>
      </c>
      <c r="L40">
        <v>14</v>
      </c>
      <c r="M40">
        <v>1</v>
      </c>
      <c r="N40">
        <v>0</v>
      </c>
      <c r="O40">
        <v>0</v>
      </c>
      <c r="P40">
        <v>110</v>
      </c>
      <c r="Q40">
        <v>355</v>
      </c>
      <c r="R40">
        <v>0</v>
      </c>
      <c r="S40">
        <v>332</v>
      </c>
      <c r="T40">
        <v>0</v>
      </c>
      <c r="U40">
        <v>3</v>
      </c>
      <c r="V40">
        <v>0</v>
      </c>
      <c r="W40">
        <v>1370</v>
      </c>
      <c r="X40">
        <v>0</v>
      </c>
      <c r="Y40">
        <v>18</v>
      </c>
      <c r="Z40">
        <v>0</v>
      </c>
      <c r="AA40">
        <v>257</v>
      </c>
      <c r="AB40">
        <v>0</v>
      </c>
      <c r="AC40">
        <v>0</v>
      </c>
      <c r="AD40">
        <v>0</v>
      </c>
      <c r="AE40">
        <v>114</v>
      </c>
      <c r="AF40">
        <v>0</v>
      </c>
      <c r="AG40">
        <v>3</v>
      </c>
      <c r="AH40">
        <v>0</v>
      </c>
      <c r="AI40">
        <v>0</v>
      </c>
    </row>
    <row r="41" spans="1:35" x14ac:dyDescent="0.3">
      <c r="A41" s="3">
        <v>156</v>
      </c>
      <c r="C41">
        <v>77</v>
      </c>
      <c r="D41">
        <v>5</v>
      </c>
      <c r="E41">
        <v>0</v>
      </c>
      <c r="F41">
        <v>7</v>
      </c>
      <c r="H41">
        <v>40</v>
      </c>
      <c r="I41">
        <v>15</v>
      </c>
      <c r="J41">
        <v>0</v>
      </c>
      <c r="K41">
        <v>0</v>
      </c>
      <c r="L41">
        <v>21</v>
      </c>
      <c r="M41">
        <v>16</v>
      </c>
      <c r="N41">
        <v>4</v>
      </c>
      <c r="O41">
        <v>98</v>
      </c>
      <c r="P41">
        <v>126</v>
      </c>
      <c r="Q41">
        <v>7</v>
      </c>
      <c r="R41">
        <v>61</v>
      </c>
      <c r="S41">
        <v>1753</v>
      </c>
      <c r="T41">
        <v>0</v>
      </c>
      <c r="U41">
        <v>6</v>
      </c>
      <c r="V41">
        <v>0</v>
      </c>
      <c r="W41">
        <v>66</v>
      </c>
      <c r="X41">
        <v>25</v>
      </c>
      <c r="Y41">
        <v>4</v>
      </c>
      <c r="Z41">
        <v>0</v>
      </c>
      <c r="AA41">
        <v>1220</v>
      </c>
      <c r="AB41">
        <v>0</v>
      </c>
      <c r="AC41">
        <v>0</v>
      </c>
      <c r="AD41">
        <v>0</v>
      </c>
      <c r="AE41">
        <v>1429</v>
      </c>
      <c r="AF41">
        <v>0</v>
      </c>
      <c r="AG41">
        <v>1</v>
      </c>
      <c r="AH41">
        <v>0</v>
      </c>
      <c r="AI41">
        <v>0</v>
      </c>
    </row>
    <row r="42" spans="1:35" x14ac:dyDescent="0.3">
      <c r="A42" s="3">
        <v>157</v>
      </c>
      <c r="C42">
        <v>0</v>
      </c>
      <c r="D42">
        <v>4</v>
      </c>
      <c r="E42">
        <v>0</v>
      </c>
      <c r="F42">
        <v>21</v>
      </c>
      <c r="H42">
        <v>90</v>
      </c>
      <c r="I42">
        <v>6</v>
      </c>
      <c r="J42">
        <v>4</v>
      </c>
      <c r="K42">
        <v>609</v>
      </c>
      <c r="L42">
        <v>34</v>
      </c>
      <c r="M42">
        <v>1</v>
      </c>
      <c r="N42">
        <v>0</v>
      </c>
      <c r="O42">
        <v>562</v>
      </c>
      <c r="P42">
        <v>0</v>
      </c>
      <c r="Q42">
        <v>1146</v>
      </c>
      <c r="R42">
        <v>247</v>
      </c>
      <c r="S42">
        <v>1241</v>
      </c>
      <c r="T42">
        <v>0</v>
      </c>
      <c r="U42">
        <v>256</v>
      </c>
      <c r="V42">
        <v>0</v>
      </c>
      <c r="W42">
        <v>186</v>
      </c>
      <c r="X42">
        <v>34</v>
      </c>
      <c r="Y42">
        <v>9</v>
      </c>
      <c r="Z42">
        <v>0</v>
      </c>
      <c r="AA42">
        <v>534</v>
      </c>
      <c r="AB42">
        <v>0</v>
      </c>
      <c r="AC42">
        <v>0</v>
      </c>
      <c r="AD42">
        <v>0</v>
      </c>
      <c r="AE42">
        <v>3636</v>
      </c>
      <c r="AF42">
        <v>0</v>
      </c>
      <c r="AG42">
        <v>8</v>
      </c>
      <c r="AH42">
        <v>0</v>
      </c>
      <c r="AI42">
        <v>2</v>
      </c>
    </row>
    <row r="43" spans="1:35" x14ac:dyDescent="0.3">
      <c r="A43" s="3">
        <v>158</v>
      </c>
      <c r="C43">
        <v>5</v>
      </c>
      <c r="D43">
        <v>17</v>
      </c>
      <c r="E43">
        <v>0</v>
      </c>
      <c r="F43">
        <v>17</v>
      </c>
      <c r="H43">
        <v>12</v>
      </c>
      <c r="I43">
        <v>0</v>
      </c>
      <c r="J43">
        <v>2</v>
      </c>
      <c r="K43">
        <v>6</v>
      </c>
      <c r="L43">
        <v>13</v>
      </c>
      <c r="M43">
        <v>11</v>
      </c>
      <c r="N43">
        <v>5</v>
      </c>
      <c r="O43">
        <v>709</v>
      </c>
      <c r="P43">
        <v>274</v>
      </c>
      <c r="Q43">
        <v>70</v>
      </c>
      <c r="R43">
        <v>87</v>
      </c>
      <c r="S43">
        <v>910</v>
      </c>
      <c r="T43">
        <v>35</v>
      </c>
      <c r="U43">
        <v>8</v>
      </c>
      <c r="V43">
        <v>0</v>
      </c>
      <c r="W43">
        <v>624</v>
      </c>
      <c r="X43">
        <v>0</v>
      </c>
      <c r="Y43">
        <v>17</v>
      </c>
      <c r="Z43">
        <v>1</v>
      </c>
      <c r="AA43">
        <v>658</v>
      </c>
      <c r="AB43">
        <v>0</v>
      </c>
      <c r="AC43">
        <v>0</v>
      </c>
      <c r="AD43">
        <v>35</v>
      </c>
      <c r="AE43">
        <v>86</v>
      </c>
      <c r="AF43">
        <v>0</v>
      </c>
      <c r="AG43">
        <v>1094</v>
      </c>
      <c r="AH43">
        <v>0</v>
      </c>
      <c r="AI43">
        <v>0</v>
      </c>
    </row>
    <row r="44" spans="1:35" x14ac:dyDescent="0.3">
      <c r="A44" s="3">
        <v>159</v>
      </c>
      <c r="B44">
        <v>2</v>
      </c>
      <c r="C44">
        <v>2</v>
      </c>
      <c r="D44">
        <v>0</v>
      </c>
      <c r="E44">
        <v>0</v>
      </c>
      <c r="F44">
        <v>13</v>
      </c>
      <c r="H44">
        <v>185</v>
      </c>
      <c r="I44">
        <v>0</v>
      </c>
      <c r="J44">
        <v>1</v>
      </c>
      <c r="K44">
        <v>184</v>
      </c>
      <c r="L44">
        <v>2</v>
      </c>
      <c r="M44">
        <v>0</v>
      </c>
      <c r="N44">
        <v>35</v>
      </c>
      <c r="O44">
        <v>1459</v>
      </c>
      <c r="P44">
        <v>5</v>
      </c>
      <c r="Q44">
        <v>174</v>
      </c>
      <c r="R44">
        <v>39</v>
      </c>
      <c r="S44">
        <v>1309</v>
      </c>
      <c r="T44">
        <v>0</v>
      </c>
      <c r="U44">
        <v>0</v>
      </c>
      <c r="V44">
        <v>0</v>
      </c>
      <c r="W44">
        <v>390</v>
      </c>
      <c r="X44">
        <v>36</v>
      </c>
      <c r="Y44">
        <v>40</v>
      </c>
      <c r="Z44">
        <v>0</v>
      </c>
      <c r="AA44">
        <v>1862</v>
      </c>
      <c r="AB44">
        <v>2</v>
      </c>
      <c r="AC44">
        <v>3</v>
      </c>
      <c r="AD44">
        <v>0</v>
      </c>
      <c r="AE44">
        <v>326</v>
      </c>
      <c r="AF44">
        <v>0</v>
      </c>
      <c r="AG44">
        <v>2</v>
      </c>
      <c r="AH44">
        <v>0</v>
      </c>
      <c r="AI44">
        <v>0</v>
      </c>
    </row>
    <row r="45" spans="1:35" x14ac:dyDescent="0.3">
      <c r="A45" s="3">
        <v>160</v>
      </c>
      <c r="B45">
        <v>0</v>
      </c>
      <c r="C45">
        <v>0</v>
      </c>
      <c r="D45">
        <v>15</v>
      </c>
      <c r="E45">
        <v>0</v>
      </c>
      <c r="F45">
        <v>31</v>
      </c>
      <c r="H45">
        <v>2</v>
      </c>
      <c r="I45">
        <v>121</v>
      </c>
      <c r="J45">
        <v>6</v>
      </c>
      <c r="K45">
        <v>1191</v>
      </c>
      <c r="L45">
        <v>16</v>
      </c>
      <c r="M45">
        <v>0</v>
      </c>
      <c r="N45">
        <v>2</v>
      </c>
      <c r="O45">
        <v>496</v>
      </c>
      <c r="P45">
        <v>541</v>
      </c>
      <c r="Q45">
        <v>960</v>
      </c>
      <c r="R45">
        <v>751</v>
      </c>
      <c r="S45">
        <v>1353</v>
      </c>
      <c r="T45">
        <v>1</v>
      </c>
      <c r="U45">
        <v>11</v>
      </c>
      <c r="V45">
        <v>0</v>
      </c>
      <c r="W45">
        <v>307</v>
      </c>
      <c r="X45">
        <v>200</v>
      </c>
      <c r="Y45">
        <v>2</v>
      </c>
      <c r="Z45">
        <v>4</v>
      </c>
      <c r="AA45">
        <v>786</v>
      </c>
      <c r="AB45">
        <v>33</v>
      </c>
      <c r="AC45">
        <v>0</v>
      </c>
      <c r="AD45">
        <v>0</v>
      </c>
      <c r="AE45">
        <v>122</v>
      </c>
      <c r="AF45">
        <v>2</v>
      </c>
      <c r="AG45">
        <v>3</v>
      </c>
      <c r="AH45">
        <v>1</v>
      </c>
      <c r="AI45">
        <v>0</v>
      </c>
    </row>
    <row r="46" spans="1:35" x14ac:dyDescent="0.3">
      <c r="A46" s="3">
        <v>161</v>
      </c>
      <c r="B46">
        <v>0</v>
      </c>
      <c r="C46">
        <v>5</v>
      </c>
      <c r="D46">
        <v>2</v>
      </c>
      <c r="E46">
        <v>2</v>
      </c>
      <c r="F46">
        <v>40</v>
      </c>
      <c r="G46">
        <v>373</v>
      </c>
      <c r="H46">
        <v>307</v>
      </c>
      <c r="I46">
        <v>5</v>
      </c>
      <c r="J46">
        <v>0</v>
      </c>
      <c r="K46">
        <v>3</v>
      </c>
      <c r="L46">
        <v>0</v>
      </c>
      <c r="M46">
        <v>0</v>
      </c>
      <c r="N46">
        <v>171</v>
      </c>
      <c r="O46">
        <v>796</v>
      </c>
      <c r="P46">
        <v>783</v>
      </c>
      <c r="Q46">
        <v>414</v>
      </c>
      <c r="R46">
        <v>3</v>
      </c>
      <c r="S46">
        <v>608</v>
      </c>
      <c r="T46">
        <v>0</v>
      </c>
      <c r="U46">
        <v>247</v>
      </c>
      <c r="V46">
        <v>0</v>
      </c>
      <c r="W46">
        <v>289</v>
      </c>
      <c r="X46">
        <v>206</v>
      </c>
      <c r="Y46">
        <v>337</v>
      </c>
      <c r="Z46">
        <v>1</v>
      </c>
      <c r="AA46">
        <v>1260</v>
      </c>
      <c r="AB46">
        <v>955</v>
      </c>
      <c r="AC46">
        <v>42</v>
      </c>
      <c r="AD46">
        <v>0</v>
      </c>
      <c r="AE46">
        <v>417</v>
      </c>
      <c r="AF46">
        <v>9</v>
      </c>
      <c r="AG46">
        <v>637</v>
      </c>
      <c r="AH46">
        <v>0</v>
      </c>
      <c r="AI46">
        <v>0</v>
      </c>
    </row>
    <row r="47" spans="1:35" x14ac:dyDescent="0.3">
      <c r="A47" s="3">
        <v>162</v>
      </c>
      <c r="B47">
        <v>1</v>
      </c>
      <c r="C47">
        <v>947</v>
      </c>
      <c r="D47">
        <v>1</v>
      </c>
      <c r="E47">
        <v>0</v>
      </c>
      <c r="F47">
        <v>82</v>
      </c>
      <c r="G47">
        <v>24</v>
      </c>
      <c r="H47">
        <v>21</v>
      </c>
      <c r="I47">
        <v>24</v>
      </c>
      <c r="J47">
        <v>0</v>
      </c>
      <c r="K47">
        <v>0</v>
      </c>
      <c r="L47">
        <v>301</v>
      </c>
      <c r="M47">
        <v>0</v>
      </c>
      <c r="N47">
        <v>547</v>
      </c>
      <c r="O47">
        <v>178</v>
      </c>
      <c r="P47">
        <v>42</v>
      </c>
      <c r="Q47">
        <v>453</v>
      </c>
      <c r="R47">
        <v>163</v>
      </c>
      <c r="S47">
        <v>307</v>
      </c>
      <c r="T47">
        <v>0</v>
      </c>
      <c r="U47">
        <v>152</v>
      </c>
      <c r="V47">
        <v>0</v>
      </c>
      <c r="W47">
        <v>535</v>
      </c>
      <c r="X47">
        <v>0</v>
      </c>
      <c r="Y47">
        <v>339</v>
      </c>
      <c r="Z47">
        <v>1</v>
      </c>
      <c r="AA47">
        <v>1658</v>
      </c>
      <c r="AB47">
        <v>244</v>
      </c>
      <c r="AC47">
        <v>424</v>
      </c>
      <c r="AD47">
        <v>0</v>
      </c>
      <c r="AE47">
        <v>123</v>
      </c>
      <c r="AF47">
        <v>1</v>
      </c>
      <c r="AG47">
        <v>0</v>
      </c>
      <c r="AH47">
        <v>0</v>
      </c>
      <c r="AI47">
        <v>37</v>
      </c>
    </row>
    <row r="48" spans="1:35" x14ac:dyDescent="0.3">
      <c r="A48" s="3">
        <v>163</v>
      </c>
      <c r="B48">
        <v>1</v>
      </c>
      <c r="C48">
        <v>675</v>
      </c>
      <c r="D48">
        <v>0</v>
      </c>
      <c r="E48">
        <v>3</v>
      </c>
      <c r="F48">
        <v>136</v>
      </c>
      <c r="G48">
        <v>53</v>
      </c>
      <c r="H48">
        <v>393</v>
      </c>
      <c r="I48">
        <v>0</v>
      </c>
      <c r="J48">
        <v>0</v>
      </c>
      <c r="K48">
        <v>22</v>
      </c>
      <c r="L48">
        <v>744</v>
      </c>
      <c r="M48">
        <v>10</v>
      </c>
      <c r="N48">
        <v>0</v>
      </c>
      <c r="O48">
        <v>3</v>
      </c>
      <c r="P48">
        <v>288</v>
      </c>
      <c r="Q48">
        <v>65</v>
      </c>
      <c r="R48">
        <v>138</v>
      </c>
      <c r="S48">
        <v>498</v>
      </c>
      <c r="T48">
        <v>443</v>
      </c>
      <c r="U48">
        <v>3</v>
      </c>
      <c r="V48">
        <v>0</v>
      </c>
      <c r="W48">
        <v>21</v>
      </c>
      <c r="X48">
        <v>0</v>
      </c>
      <c r="Y48">
        <v>45</v>
      </c>
      <c r="Z48">
        <v>0</v>
      </c>
      <c r="AA48">
        <v>2970</v>
      </c>
      <c r="AB48">
        <v>484</v>
      </c>
      <c r="AC48">
        <v>32</v>
      </c>
      <c r="AD48">
        <v>0</v>
      </c>
      <c r="AE48">
        <v>2011</v>
      </c>
      <c r="AF48">
        <v>9</v>
      </c>
      <c r="AG48">
        <v>518</v>
      </c>
      <c r="AH48">
        <v>0</v>
      </c>
      <c r="AI48">
        <v>16</v>
      </c>
    </row>
    <row r="49" spans="1:35" x14ac:dyDescent="0.3">
      <c r="A49" s="3">
        <v>164</v>
      </c>
      <c r="B49">
        <v>0</v>
      </c>
      <c r="C49" s="11">
        <v>252</v>
      </c>
      <c r="D49">
        <v>87</v>
      </c>
      <c r="E49">
        <v>111</v>
      </c>
      <c r="F49">
        <v>199</v>
      </c>
      <c r="G49">
        <v>597</v>
      </c>
      <c r="H49">
        <v>19</v>
      </c>
      <c r="I49">
        <v>0</v>
      </c>
      <c r="J49">
        <v>0</v>
      </c>
      <c r="K49">
        <v>90</v>
      </c>
      <c r="L49">
        <v>809</v>
      </c>
      <c r="M49">
        <v>431</v>
      </c>
      <c r="N49">
        <v>0</v>
      </c>
      <c r="O49">
        <v>0</v>
      </c>
      <c r="P49">
        <v>0</v>
      </c>
      <c r="Q49">
        <v>104</v>
      </c>
      <c r="R49">
        <v>324</v>
      </c>
      <c r="S49">
        <v>528</v>
      </c>
      <c r="T49">
        <v>30</v>
      </c>
      <c r="U49">
        <v>0</v>
      </c>
      <c r="V49">
        <v>5</v>
      </c>
      <c r="W49">
        <v>228</v>
      </c>
      <c r="X49">
        <v>1042</v>
      </c>
      <c r="Y49">
        <v>2</v>
      </c>
      <c r="Z49">
        <v>0</v>
      </c>
      <c r="AA49">
        <v>13</v>
      </c>
      <c r="AB49">
        <v>1464</v>
      </c>
      <c r="AC49">
        <v>571</v>
      </c>
      <c r="AD49">
        <v>0</v>
      </c>
      <c r="AE49">
        <v>3000</v>
      </c>
      <c r="AF49">
        <v>3</v>
      </c>
      <c r="AG49">
        <v>22</v>
      </c>
      <c r="AH49">
        <v>0</v>
      </c>
      <c r="AI49">
        <v>5</v>
      </c>
    </row>
    <row r="50" spans="1:35" x14ac:dyDescent="0.3">
      <c r="A50" s="3">
        <v>165</v>
      </c>
      <c r="B50">
        <v>0</v>
      </c>
      <c r="C50">
        <v>226</v>
      </c>
      <c r="D50">
        <v>263</v>
      </c>
      <c r="E50">
        <v>0</v>
      </c>
      <c r="F50">
        <v>166</v>
      </c>
      <c r="G50">
        <v>1331</v>
      </c>
      <c r="H50">
        <v>5</v>
      </c>
      <c r="I50">
        <v>4</v>
      </c>
      <c r="J50">
        <v>78</v>
      </c>
      <c r="K50">
        <v>1019</v>
      </c>
      <c r="L50">
        <v>530</v>
      </c>
      <c r="M50">
        <v>0</v>
      </c>
      <c r="N50">
        <v>0</v>
      </c>
      <c r="O50">
        <v>519</v>
      </c>
      <c r="P50">
        <v>223</v>
      </c>
      <c r="Q50">
        <v>2098</v>
      </c>
      <c r="R50">
        <v>126</v>
      </c>
      <c r="S50">
        <v>115</v>
      </c>
      <c r="T50">
        <v>395</v>
      </c>
      <c r="U50">
        <v>109</v>
      </c>
      <c r="V50">
        <v>0</v>
      </c>
      <c r="W50">
        <v>761</v>
      </c>
      <c r="X50">
        <v>0</v>
      </c>
      <c r="Y50">
        <v>5</v>
      </c>
      <c r="Z50">
        <v>3</v>
      </c>
      <c r="AA50">
        <v>2170</v>
      </c>
      <c r="AB50">
        <v>2011</v>
      </c>
      <c r="AC50">
        <v>251</v>
      </c>
      <c r="AD50">
        <v>1</v>
      </c>
      <c r="AE50">
        <v>3573</v>
      </c>
      <c r="AF50">
        <v>0</v>
      </c>
      <c r="AG50">
        <v>7</v>
      </c>
      <c r="AH50">
        <v>0</v>
      </c>
      <c r="AI50">
        <v>925</v>
      </c>
    </row>
    <row r="51" spans="1:35" x14ac:dyDescent="0.3">
      <c r="A51" s="3">
        <v>166</v>
      </c>
      <c r="B51">
        <v>0</v>
      </c>
      <c r="C51">
        <v>23</v>
      </c>
      <c r="D51">
        <v>384</v>
      </c>
      <c r="E51">
        <v>170</v>
      </c>
      <c r="F51">
        <v>268</v>
      </c>
      <c r="G51">
        <v>592</v>
      </c>
      <c r="H51">
        <v>1008</v>
      </c>
      <c r="I51">
        <v>20</v>
      </c>
      <c r="J51">
        <v>7</v>
      </c>
      <c r="K51">
        <v>141</v>
      </c>
      <c r="L51">
        <v>0</v>
      </c>
      <c r="M51">
        <v>574</v>
      </c>
      <c r="N51">
        <v>258</v>
      </c>
      <c r="O51">
        <v>707</v>
      </c>
      <c r="P51">
        <v>1465</v>
      </c>
      <c r="Q51">
        <v>1092</v>
      </c>
      <c r="R51">
        <v>328</v>
      </c>
      <c r="S51">
        <v>395</v>
      </c>
      <c r="T51">
        <v>0</v>
      </c>
      <c r="U51">
        <v>0</v>
      </c>
      <c r="V51">
        <v>0</v>
      </c>
      <c r="W51">
        <v>221</v>
      </c>
      <c r="X51">
        <v>2</v>
      </c>
      <c r="Y51">
        <v>1568</v>
      </c>
      <c r="Z51">
        <v>2</v>
      </c>
      <c r="AA51">
        <v>2342</v>
      </c>
      <c r="AB51">
        <v>141</v>
      </c>
      <c r="AC51">
        <v>0</v>
      </c>
      <c r="AD51">
        <v>3</v>
      </c>
      <c r="AE51">
        <v>1390</v>
      </c>
      <c r="AF51">
        <v>6</v>
      </c>
      <c r="AG51">
        <v>3</v>
      </c>
      <c r="AH51">
        <v>0</v>
      </c>
      <c r="AI51">
        <v>345</v>
      </c>
    </row>
    <row r="52" spans="1:35" x14ac:dyDescent="0.3">
      <c r="A52" s="3">
        <v>167</v>
      </c>
      <c r="B52">
        <v>0</v>
      </c>
      <c r="C52">
        <v>2</v>
      </c>
      <c r="D52">
        <v>173</v>
      </c>
      <c r="E52">
        <v>11</v>
      </c>
      <c r="F52">
        <v>156</v>
      </c>
      <c r="G52">
        <v>241</v>
      </c>
      <c r="H52">
        <v>722</v>
      </c>
      <c r="I52">
        <v>265</v>
      </c>
      <c r="J52">
        <v>4</v>
      </c>
      <c r="K52">
        <v>878</v>
      </c>
      <c r="L52">
        <v>11</v>
      </c>
      <c r="M52">
        <v>278</v>
      </c>
      <c r="N52">
        <v>2363</v>
      </c>
      <c r="O52">
        <v>351</v>
      </c>
      <c r="P52">
        <v>1457</v>
      </c>
      <c r="Q52">
        <v>128</v>
      </c>
      <c r="R52">
        <v>281</v>
      </c>
      <c r="S52">
        <v>273</v>
      </c>
      <c r="T52">
        <v>2</v>
      </c>
      <c r="U52">
        <v>314</v>
      </c>
      <c r="V52">
        <v>0</v>
      </c>
      <c r="W52">
        <v>424</v>
      </c>
      <c r="X52">
        <v>1015</v>
      </c>
      <c r="Y52">
        <v>618</v>
      </c>
      <c r="Z52">
        <v>0</v>
      </c>
      <c r="AA52">
        <v>3443</v>
      </c>
      <c r="AB52">
        <v>383</v>
      </c>
      <c r="AC52">
        <v>389</v>
      </c>
      <c r="AD52">
        <v>33</v>
      </c>
      <c r="AE52">
        <v>201</v>
      </c>
      <c r="AF52">
        <v>6</v>
      </c>
      <c r="AG52">
        <v>54</v>
      </c>
      <c r="AH52">
        <v>0</v>
      </c>
      <c r="AI52">
        <v>2697</v>
      </c>
    </row>
    <row r="53" spans="1:35" x14ac:dyDescent="0.3">
      <c r="A53" s="3">
        <v>168</v>
      </c>
      <c r="B53">
        <v>0</v>
      </c>
      <c r="C53">
        <v>4592</v>
      </c>
      <c r="D53">
        <v>730</v>
      </c>
      <c r="E53">
        <v>0</v>
      </c>
      <c r="F53">
        <v>28</v>
      </c>
      <c r="G53">
        <v>101</v>
      </c>
      <c r="H53">
        <v>366</v>
      </c>
      <c r="I53">
        <v>207</v>
      </c>
      <c r="J53">
        <v>90</v>
      </c>
      <c r="K53">
        <v>64</v>
      </c>
      <c r="L53">
        <v>241</v>
      </c>
      <c r="M53">
        <v>0</v>
      </c>
      <c r="N53">
        <v>11</v>
      </c>
      <c r="O53">
        <v>424</v>
      </c>
      <c r="P53">
        <v>110</v>
      </c>
      <c r="Q53">
        <v>322</v>
      </c>
      <c r="R53">
        <v>4</v>
      </c>
      <c r="S53">
        <v>593</v>
      </c>
      <c r="T53">
        <v>1298</v>
      </c>
      <c r="U53">
        <v>597</v>
      </c>
      <c r="V53">
        <v>0</v>
      </c>
      <c r="W53">
        <v>233</v>
      </c>
      <c r="X53">
        <v>8</v>
      </c>
      <c r="Y53">
        <v>3</v>
      </c>
      <c r="Z53">
        <v>2</v>
      </c>
      <c r="AA53">
        <v>2131</v>
      </c>
      <c r="AB53">
        <v>2083</v>
      </c>
      <c r="AC53">
        <v>406</v>
      </c>
      <c r="AD53">
        <v>857</v>
      </c>
      <c r="AE53">
        <v>2872</v>
      </c>
      <c r="AF53">
        <v>12</v>
      </c>
      <c r="AG53">
        <v>1019</v>
      </c>
      <c r="AH53">
        <v>0</v>
      </c>
      <c r="AI53">
        <v>586</v>
      </c>
    </row>
    <row r="54" spans="1:35" x14ac:dyDescent="0.3">
      <c r="A54" s="3">
        <v>169</v>
      </c>
      <c r="B54">
        <v>3</v>
      </c>
      <c r="C54">
        <v>1317</v>
      </c>
      <c r="D54">
        <v>1015</v>
      </c>
      <c r="E54">
        <v>0</v>
      </c>
      <c r="F54">
        <v>1024</v>
      </c>
      <c r="G54">
        <v>2186</v>
      </c>
      <c r="H54">
        <v>248</v>
      </c>
      <c r="I54">
        <v>662</v>
      </c>
      <c r="J54">
        <v>228</v>
      </c>
      <c r="K54">
        <v>0</v>
      </c>
      <c r="L54">
        <v>178</v>
      </c>
      <c r="M54">
        <v>187</v>
      </c>
      <c r="N54">
        <v>1607</v>
      </c>
      <c r="O54">
        <v>1477</v>
      </c>
      <c r="P54">
        <v>618</v>
      </c>
      <c r="Q54">
        <v>1262</v>
      </c>
      <c r="R54">
        <v>944</v>
      </c>
      <c r="S54">
        <v>1781</v>
      </c>
      <c r="T54">
        <v>433</v>
      </c>
      <c r="U54">
        <v>996</v>
      </c>
      <c r="V54">
        <v>0</v>
      </c>
      <c r="W54">
        <v>886</v>
      </c>
      <c r="X54">
        <v>382</v>
      </c>
      <c r="Y54">
        <v>467</v>
      </c>
      <c r="Z54">
        <v>32</v>
      </c>
      <c r="AA54">
        <v>948</v>
      </c>
      <c r="AB54">
        <v>0</v>
      </c>
      <c r="AC54">
        <v>93</v>
      </c>
      <c r="AD54">
        <v>273</v>
      </c>
      <c r="AE54">
        <v>4688</v>
      </c>
      <c r="AF54">
        <v>237</v>
      </c>
      <c r="AG54">
        <v>14</v>
      </c>
      <c r="AH54">
        <v>2</v>
      </c>
      <c r="AI54">
        <v>29</v>
      </c>
    </row>
    <row r="55" spans="1:35" x14ac:dyDescent="0.3">
      <c r="A55" s="3">
        <v>170</v>
      </c>
      <c r="B55">
        <v>2</v>
      </c>
      <c r="C55">
        <v>1506</v>
      </c>
      <c r="D55">
        <v>2132</v>
      </c>
      <c r="E55">
        <v>1156</v>
      </c>
      <c r="F55">
        <v>360</v>
      </c>
      <c r="G55">
        <v>293</v>
      </c>
      <c r="H55">
        <v>43</v>
      </c>
      <c r="I55">
        <v>57</v>
      </c>
      <c r="J55">
        <v>62</v>
      </c>
      <c r="K55">
        <v>726</v>
      </c>
      <c r="L55">
        <v>0</v>
      </c>
      <c r="M55">
        <v>50</v>
      </c>
      <c r="N55">
        <v>2143</v>
      </c>
      <c r="O55">
        <v>85</v>
      </c>
      <c r="P55">
        <v>94</v>
      </c>
      <c r="Q55">
        <v>500</v>
      </c>
      <c r="R55">
        <v>894</v>
      </c>
      <c r="S55">
        <v>396</v>
      </c>
      <c r="T55">
        <v>26</v>
      </c>
      <c r="U55">
        <v>656</v>
      </c>
      <c r="V55">
        <v>0</v>
      </c>
      <c r="W55">
        <v>1533</v>
      </c>
      <c r="X55">
        <v>1366</v>
      </c>
      <c r="Y55">
        <v>174</v>
      </c>
      <c r="Z55">
        <v>344</v>
      </c>
      <c r="AA55">
        <v>681</v>
      </c>
      <c r="AB55">
        <v>1226</v>
      </c>
      <c r="AC55">
        <v>58</v>
      </c>
      <c r="AD55">
        <v>103</v>
      </c>
      <c r="AE55">
        <v>61</v>
      </c>
      <c r="AF55">
        <v>138</v>
      </c>
      <c r="AG55">
        <v>677</v>
      </c>
      <c r="AH55">
        <v>1</v>
      </c>
      <c r="AI55">
        <v>724</v>
      </c>
    </row>
    <row r="56" spans="1:35" x14ac:dyDescent="0.3">
      <c r="A56" s="3">
        <v>171</v>
      </c>
      <c r="B56">
        <v>3</v>
      </c>
      <c r="C56">
        <v>640</v>
      </c>
      <c r="D56">
        <v>34</v>
      </c>
      <c r="E56">
        <v>1486</v>
      </c>
      <c r="F56">
        <v>442</v>
      </c>
      <c r="G56">
        <v>2497</v>
      </c>
      <c r="H56">
        <v>48</v>
      </c>
      <c r="I56">
        <v>1091</v>
      </c>
      <c r="J56">
        <v>1289</v>
      </c>
      <c r="K56">
        <v>716</v>
      </c>
      <c r="L56">
        <v>132</v>
      </c>
      <c r="M56">
        <v>254</v>
      </c>
      <c r="N56">
        <v>82</v>
      </c>
      <c r="O56">
        <v>309</v>
      </c>
      <c r="P56">
        <v>1885</v>
      </c>
      <c r="Q56">
        <v>274</v>
      </c>
      <c r="R56">
        <v>234</v>
      </c>
      <c r="S56">
        <v>1805</v>
      </c>
      <c r="T56">
        <v>90</v>
      </c>
      <c r="U56">
        <v>1013</v>
      </c>
      <c r="V56">
        <v>0</v>
      </c>
      <c r="W56">
        <v>368</v>
      </c>
      <c r="X56">
        <v>3739</v>
      </c>
      <c r="Y56">
        <v>476</v>
      </c>
      <c r="Z56">
        <v>0</v>
      </c>
      <c r="AA56">
        <v>1895</v>
      </c>
      <c r="AB56">
        <v>623</v>
      </c>
      <c r="AC56">
        <v>1029</v>
      </c>
      <c r="AD56">
        <v>125</v>
      </c>
      <c r="AE56">
        <v>243</v>
      </c>
      <c r="AF56">
        <v>98</v>
      </c>
      <c r="AG56">
        <v>62</v>
      </c>
      <c r="AH56">
        <v>345</v>
      </c>
      <c r="AI56">
        <v>117</v>
      </c>
    </row>
    <row r="57" spans="1:35" x14ac:dyDescent="0.3">
      <c r="A57" s="3">
        <v>172</v>
      </c>
      <c r="B57">
        <v>2</v>
      </c>
      <c r="C57">
        <v>2968</v>
      </c>
      <c r="D57">
        <v>3310</v>
      </c>
      <c r="E57">
        <v>1726</v>
      </c>
      <c r="F57">
        <v>649</v>
      </c>
      <c r="G57">
        <v>0</v>
      </c>
      <c r="H57">
        <v>519</v>
      </c>
      <c r="I57">
        <v>929</v>
      </c>
      <c r="J57">
        <v>2857</v>
      </c>
      <c r="K57">
        <v>237</v>
      </c>
      <c r="L57">
        <v>1191</v>
      </c>
      <c r="M57">
        <v>2572</v>
      </c>
      <c r="N57">
        <v>1222</v>
      </c>
      <c r="O57">
        <v>144</v>
      </c>
      <c r="P57">
        <v>1230</v>
      </c>
      <c r="Q57">
        <v>486</v>
      </c>
      <c r="R57">
        <v>1946</v>
      </c>
      <c r="S57">
        <v>147</v>
      </c>
      <c r="T57">
        <v>12</v>
      </c>
      <c r="U57">
        <v>293</v>
      </c>
      <c r="V57">
        <v>240</v>
      </c>
      <c r="W57">
        <v>2214</v>
      </c>
      <c r="X57">
        <v>2594</v>
      </c>
      <c r="Y57">
        <v>83</v>
      </c>
      <c r="Z57">
        <v>16</v>
      </c>
      <c r="AA57">
        <v>2458</v>
      </c>
      <c r="AB57">
        <v>324</v>
      </c>
      <c r="AC57">
        <v>52</v>
      </c>
      <c r="AD57">
        <v>3</v>
      </c>
      <c r="AE57">
        <v>90</v>
      </c>
      <c r="AF57">
        <v>35</v>
      </c>
      <c r="AG57">
        <v>16</v>
      </c>
      <c r="AH57">
        <v>0</v>
      </c>
      <c r="AI57">
        <v>4585</v>
      </c>
    </row>
    <row r="58" spans="1:35" x14ac:dyDescent="0.3">
      <c r="A58" s="3">
        <v>173</v>
      </c>
      <c r="B58">
        <v>0</v>
      </c>
      <c r="C58">
        <v>880</v>
      </c>
      <c r="D58">
        <v>107</v>
      </c>
      <c r="E58">
        <v>2967</v>
      </c>
      <c r="F58">
        <v>608</v>
      </c>
      <c r="G58">
        <v>739</v>
      </c>
      <c r="H58">
        <v>1359</v>
      </c>
      <c r="I58">
        <v>1886</v>
      </c>
      <c r="J58">
        <v>1340</v>
      </c>
      <c r="K58">
        <v>251</v>
      </c>
      <c r="L58">
        <v>1955</v>
      </c>
      <c r="M58">
        <v>6</v>
      </c>
      <c r="N58">
        <v>422</v>
      </c>
      <c r="O58">
        <v>710</v>
      </c>
      <c r="P58">
        <v>2523</v>
      </c>
      <c r="Q58">
        <v>1366</v>
      </c>
      <c r="R58">
        <v>74</v>
      </c>
      <c r="S58">
        <v>686</v>
      </c>
      <c r="T58">
        <v>165</v>
      </c>
      <c r="U58">
        <v>43</v>
      </c>
      <c r="V58">
        <v>331</v>
      </c>
      <c r="W58">
        <v>1228</v>
      </c>
      <c r="X58">
        <v>0</v>
      </c>
      <c r="Y58">
        <v>3153</v>
      </c>
      <c r="Z58">
        <v>769</v>
      </c>
      <c r="AA58">
        <v>2335</v>
      </c>
      <c r="AB58">
        <v>727</v>
      </c>
      <c r="AC58">
        <v>329</v>
      </c>
      <c r="AD58">
        <v>1139</v>
      </c>
      <c r="AE58">
        <v>39</v>
      </c>
      <c r="AF58">
        <v>15</v>
      </c>
      <c r="AG58">
        <v>376</v>
      </c>
      <c r="AH58">
        <v>0</v>
      </c>
      <c r="AI58">
        <v>91</v>
      </c>
    </row>
    <row r="59" spans="1:35" x14ac:dyDescent="0.3">
      <c r="A59" s="3">
        <v>174</v>
      </c>
      <c r="B59">
        <v>957</v>
      </c>
      <c r="C59">
        <v>1649</v>
      </c>
      <c r="D59">
        <v>1435</v>
      </c>
      <c r="E59">
        <v>123</v>
      </c>
      <c r="F59">
        <v>959</v>
      </c>
      <c r="G59">
        <v>1805</v>
      </c>
      <c r="H59">
        <v>2640</v>
      </c>
      <c r="I59">
        <v>1299</v>
      </c>
      <c r="J59">
        <v>476</v>
      </c>
      <c r="K59">
        <v>1330</v>
      </c>
      <c r="L59">
        <v>377</v>
      </c>
      <c r="M59">
        <v>1253</v>
      </c>
      <c r="N59">
        <v>14</v>
      </c>
      <c r="O59">
        <v>962</v>
      </c>
      <c r="P59">
        <v>1233</v>
      </c>
      <c r="Q59">
        <v>317</v>
      </c>
      <c r="R59">
        <v>75</v>
      </c>
      <c r="S59">
        <v>2044</v>
      </c>
      <c r="T59">
        <v>2163</v>
      </c>
      <c r="U59">
        <v>32</v>
      </c>
      <c r="V59">
        <v>1503</v>
      </c>
      <c r="W59">
        <v>407</v>
      </c>
      <c r="X59">
        <v>1686</v>
      </c>
      <c r="Y59">
        <v>2153</v>
      </c>
      <c r="Z59">
        <v>3053</v>
      </c>
      <c r="AA59">
        <v>1233</v>
      </c>
      <c r="AB59">
        <v>1626</v>
      </c>
      <c r="AC59">
        <v>147</v>
      </c>
      <c r="AD59">
        <v>657</v>
      </c>
      <c r="AE59">
        <v>214</v>
      </c>
      <c r="AF59">
        <v>0</v>
      </c>
      <c r="AG59">
        <v>1541</v>
      </c>
      <c r="AH59">
        <v>302</v>
      </c>
      <c r="AI59">
        <v>1</v>
      </c>
    </row>
    <row r="60" spans="1:35" x14ac:dyDescent="0.3">
      <c r="A60" s="3">
        <v>175</v>
      </c>
      <c r="B60">
        <v>0</v>
      </c>
      <c r="C60">
        <v>2297</v>
      </c>
      <c r="D60">
        <v>89</v>
      </c>
      <c r="E60">
        <v>32</v>
      </c>
      <c r="F60">
        <v>685</v>
      </c>
      <c r="G60">
        <v>2343</v>
      </c>
      <c r="H60">
        <v>208</v>
      </c>
      <c r="I60">
        <v>3087</v>
      </c>
      <c r="J60">
        <v>2010</v>
      </c>
      <c r="K60">
        <v>114</v>
      </c>
      <c r="L60">
        <v>84</v>
      </c>
      <c r="M60">
        <v>519</v>
      </c>
      <c r="N60">
        <v>267</v>
      </c>
      <c r="O60">
        <v>1938</v>
      </c>
      <c r="P60">
        <v>1857</v>
      </c>
      <c r="Q60">
        <v>1540</v>
      </c>
      <c r="R60">
        <v>752</v>
      </c>
      <c r="S60">
        <v>2113</v>
      </c>
      <c r="T60">
        <v>610</v>
      </c>
      <c r="U60">
        <v>934</v>
      </c>
      <c r="V60">
        <v>42</v>
      </c>
      <c r="W60">
        <v>2177</v>
      </c>
      <c r="X60">
        <v>1343</v>
      </c>
      <c r="Y60">
        <v>709</v>
      </c>
      <c r="Z60">
        <v>462</v>
      </c>
      <c r="AA60">
        <v>1252</v>
      </c>
      <c r="AB60">
        <v>1368</v>
      </c>
      <c r="AC60">
        <v>744</v>
      </c>
      <c r="AD60">
        <v>846</v>
      </c>
      <c r="AE60">
        <v>186</v>
      </c>
      <c r="AF60">
        <v>96</v>
      </c>
      <c r="AG60">
        <v>408</v>
      </c>
      <c r="AH60">
        <v>3374</v>
      </c>
      <c r="AI60">
        <v>3222</v>
      </c>
    </row>
    <row r="61" spans="1:35" x14ac:dyDescent="0.3">
      <c r="A61" s="3">
        <v>176</v>
      </c>
      <c r="B61">
        <v>14</v>
      </c>
      <c r="C61">
        <v>2247</v>
      </c>
      <c r="D61">
        <v>1004</v>
      </c>
      <c r="E61">
        <v>1523</v>
      </c>
      <c r="F61">
        <v>941</v>
      </c>
      <c r="G61">
        <v>244</v>
      </c>
      <c r="H61">
        <v>1710</v>
      </c>
      <c r="I61">
        <v>138</v>
      </c>
      <c r="J61">
        <v>334</v>
      </c>
      <c r="K61">
        <v>313</v>
      </c>
      <c r="L61">
        <v>2</v>
      </c>
      <c r="M61">
        <v>979</v>
      </c>
      <c r="N61">
        <v>124</v>
      </c>
      <c r="O61">
        <v>866</v>
      </c>
      <c r="P61">
        <v>1246</v>
      </c>
      <c r="Q61">
        <v>672</v>
      </c>
      <c r="R61">
        <v>505</v>
      </c>
      <c r="S61">
        <v>1187</v>
      </c>
      <c r="T61">
        <v>1265</v>
      </c>
      <c r="U61">
        <v>232</v>
      </c>
      <c r="V61">
        <v>392</v>
      </c>
      <c r="W61">
        <v>1291</v>
      </c>
      <c r="X61">
        <v>1023</v>
      </c>
      <c r="Y61">
        <v>714</v>
      </c>
      <c r="Z61">
        <v>65</v>
      </c>
      <c r="AA61">
        <v>2588</v>
      </c>
      <c r="AB61">
        <v>1540</v>
      </c>
      <c r="AC61">
        <v>138</v>
      </c>
      <c r="AD61">
        <v>12</v>
      </c>
      <c r="AE61">
        <v>790</v>
      </c>
      <c r="AF61">
        <v>724</v>
      </c>
      <c r="AG61">
        <v>438</v>
      </c>
      <c r="AH61">
        <v>647</v>
      </c>
      <c r="AI61">
        <v>1387</v>
      </c>
    </row>
    <row r="62" spans="1:35" x14ac:dyDescent="0.3">
      <c r="A62" s="3">
        <v>177</v>
      </c>
      <c r="B62">
        <v>5</v>
      </c>
      <c r="C62">
        <v>504</v>
      </c>
      <c r="D62">
        <v>5016</v>
      </c>
      <c r="E62">
        <v>203</v>
      </c>
      <c r="F62">
        <v>528</v>
      </c>
      <c r="G62">
        <v>845</v>
      </c>
      <c r="H62">
        <v>728</v>
      </c>
      <c r="I62">
        <v>223</v>
      </c>
      <c r="J62">
        <v>1080</v>
      </c>
      <c r="K62">
        <v>352</v>
      </c>
      <c r="L62">
        <v>76</v>
      </c>
      <c r="M62">
        <v>121</v>
      </c>
      <c r="N62">
        <v>277</v>
      </c>
      <c r="O62">
        <v>849</v>
      </c>
      <c r="P62">
        <v>73</v>
      </c>
      <c r="Q62">
        <v>1216</v>
      </c>
      <c r="R62">
        <v>1949</v>
      </c>
      <c r="S62">
        <v>2048</v>
      </c>
      <c r="T62">
        <v>986</v>
      </c>
      <c r="U62">
        <v>692</v>
      </c>
      <c r="V62">
        <v>97</v>
      </c>
      <c r="W62">
        <v>991</v>
      </c>
      <c r="X62">
        <v>734</v>
      </c>
      <c r="Y62">
        <v>1595</v>
      </c>
      <c r="Z62">
        <v>340</v>
      </c>
      <c r="AA62">
        <v>3473</v>
      </c>
      <c r="AB62">
        <v>891</v>
      </c>
      <c r="AC62">
        <v>860</v>
      </c>
      <c r="AD62">
        <v>1635</v>
      </c>
      <c r="AE62">
        <v>1151</v>
      </c>
      <c r="AF62">
        <v>16</v>
      </c>
      <c r="AG62">
        <v>1023</v>
      </c>
      <c r="AH62">
        <v>3290</v>
      </c>
      <c r="AI62">
        <v>847</v>
      </c>
    </row>
    <row r="63" spans="1:35" x14ac:dyDescent="0.3">
      <c r="A63" s="3">
        <v>178</v>
      </c>
      <c r="B63">
        <v>35</v>
      </c>
      <c r="C63">
        <v>5845</v>
      </c>
      <c r="D63">
        <v>1001</v>
      </c>
      <c r="E63">
        <v>570</v>
      </c>
      <c r="F63">
        <v>1076</v>
      </c>
      <c r="G63">
        <v>3612</v>
      </c>
      <c r="H63">
        <v>241</v>
      </c>
      <c r="I63">
        <v>2753</v>
      </c>
      <c r="J63">
        <v>169</v>
      </c>
      <c r="K63">
        <v>1402</v>
      </c>
      <c r="L63">
        <v>603</v>
      </c>
      <c r="M63">
        <v>950</v>
      </c>
      <c r="N63">
        <v>674</v>
      </c>
      <c r="O63">
        <v>1432</v>
      </c>
      <c r="P63">
        <v>992</v>
      </c>
      <c r="Q63">
        <v>1539</v>
      </c>
      <c r="R63">
        <v>848</v>
      </c>
      <c r="S63">
        <v>2941</v>
      </c>
      <c r="T63">
        <v>1438</v>
      </c>
      <c r="U63">
        <v>34</v>
      </c>
      <c r="V63">
        <v>108</v>
      </c>
      <c r="W63">
        <v>3822</v>
      </c>
      <c r="X63">
        <v>1642</v>
      </c>
      <c r="Y63">
        <v>2499</v>
      </c>
      <c r="Z63">
        <v>4787</v>
      </c>
      <c r="AA63">
        <v>2869</v>
      </c>
      <c r="AB63">
        <v>1495</v>
      </c>
      <c r="AC63">
        <v>1454</v>
      </c>
      <c r="AD63">
        <v>707</v>
      </c>
      <c r="AE63">
        <v>256</v>
      </c>
      <c r="AF63">
        <v>268</v>
      </c>
      <c r="AG63">
        <v>459</v>
      </c>
      <c r="AH63">
        <v>57</v>
      </c>
      <c r="AI63">
        <v>695</v>
      </c>
    </row>
    <row r="64" spans="1:35" x14ac:dyDescent="0.3">
      <c r="A64" s="3">
        <v>179</v>
      </c>
      <c r="B64">
        <v>25</v>
      </c>
      <c r="C64">
        <v>5818</v>
      </c>
      <c r="D64">
        <v>1549</v>
      </c>
      <c r="E64">
        <v>2156</v>
      </c>
      <c r="F64">
        <v>945</v>
      </c>
      <c r="G64">
        <v>489</v>
      </c>
      <c r="H64">
        <v>530</v>
      </c>
      <c r="I64">
        <v>1711</v>
      </c>
      <c r="J64">
        <v>2536</v>
      </c>
      <c r="K64">
        <v>757</v>
      </c>
      <c r="L64">
        <v>2</v>
      </c>
      <c r="M64">
        <v>1270</v>
      </c>
      <c r="N64">
        <v>336</v>
      </c>
      <c r="O64">
        <v>181</v>
      </c>
      <c r="P64">
        <v>2763</v>
      </c>
      <c r="Q64">
        <v>1211</v>
      </c>
      <c r="R64">
        <v>319</v>
      </c>
      <c r="S64">
        <v>555</v>
      </c>
      <c r="T64">
        <v>1093</v>
      </c>
      <c r="U64">
        <v>198</v>
      </c>
      <c r="V64">
        <v>53</v>
      </c>
      <c r="W64">
        <v>1671</v>
      </c>
      <c r="X64">
        <v>3995</v>
      </c>
      <c r="Y64">
        <v>2293</v>
      </c>
      <c r="Z64">
        <v>705</v>
      </c>
      <c r="AA64">
        <v>5927</v>
      </c>
      <c r="AB64">
        <v>1693</v>
      </c>
      <c r="AC64">
        <v>2933</v>
      </c>
      <c r="AD64">
        <v>1187</v>
      </c>
      <c r="AE64">
        <v>774</v>
      </c>
      <c r="AF64">
        <v>308</v>
      </c>
      <c r="AG64">
        <v>993</v>
      </c>
      <c r="AH64">
        <v>372</v>
      </c>
    </row>
    <row r="65" spans="1:35" x14ac:dyDescent="0.3">
      <c r="A65" s="3">
        <v>180</v>
      </c>
      <c r="B65">
        <v>1144</v>
      </c>
      <c r="C65">
        <v>1254</v>
      </c>
      <c r="D65">
        <v>937</v>
      </c>
      <c r="E65">
        <v>3239</v>
      </c>
      <c r="F65">
        <v>5291</v>
      </c>
      <c r="G65">
        <v>545</v>
      </c>
      <c r="H65">
        <v>2162</v>
      </c>
      <c r="I65">
        <v>754</v>
      </c>
      <c r="J65">
        <v>3066</v>
      </c>
      <c r="K65">
        <v>2292</v>
      </c>
      <c r="L65">
        <v>994</v>
      </c>
      <c r="M65">
        <v>1239</v>
      </c>
      <c r="N65">
        <v>860</v>
      </c>
      <c r="O65">
        <v>311</v>
      </c>
      <c r="P65">
        <v>475</v>
      </c>
      <c r="Q65">
        <v>4090</v>
      </c>
      <c r="R65">
        <v>976</v>
      </c>
      <c r="S65">
        <v>539</v>
      </c>
      <c r="T65">
        <v>1205</v>
      </c>
      <c r="U65">
        <v>670</v>
      </c>
      <c r="V65">
        <v>1042</v>
      </c>
      <c r="W65">
        <v>1286</v>
      </c>
      <c r="X65">
        <v>1252</v>
      </c>
      <c r="Y65">
        <v>40</v>
      </c>
      <c r="Z65">
        <v>3098</v>
      </c>
      <c r="AA65">
        <v>4905</v>
      </c>
      <c r="AB65">
        <v>1683</v>
      </c>
      <c r="AC65">
        <v>1429</v>
      </c>
      <c r="AD65">
        <v>474</v>
      </c>
      <c r="AE65">
        <v>200</v>
      </c>
      <c r="AF65">
        <v>81</v>
      </c>
      <c r="AG65">
        <v>464</v>
      </c>
      <c r="AH65">
        <v>43</v>
      </c>
      <c r="AI65">
        <v>86</v>
      </c>
    </row>
    <row r="66" spans="1:35" x14ac:dyDescent="0.3">
      <c r="A66" s="3">
        <v>181</v>
      </c>
      <c r="B66">
        <v>8145</v>
      </c>
      <c r="C66">
        <v>1120</v>
      </c>
      <c r="D66">
        <v>1486</v>
      </c>
      <c r="E66">
        <v>4753</v>
      </c>
      <c r="F66">
        <v>3891</v>
      </c>
      <c r="G66">
        <v>2721</v>
      </c>
      <c r="H66">
        <v>3558</v>
      </c>
      <c r="I66">
        <v>7</v>
      </c>
      <c r="J66">
        <v>848</v>
      </c>
      <c r="K66">
        <v>841</v>
      </c>
      <c r="L66">
        <v>1062</v>
      </c>
      <c r="M66">
        <v>1741</v>
      </c>
      <c r="N66">
        <v>398</v>
      </c>
      <c r="O66">
        <v>1918</v>
      </c>
      <c r="P66">
        <v>2405</v>
      </c>
      <c r="Q66">
        <v>3672</v>
      </c>
      <c r="R66">
        <v>90</v>
      </c>
      <c r="S66">
        <v>528</v>
      </c>
      <c r="T66">
        <v>1086</v>
      </c>
      <c r="U66">
        <v>1300</v>
      </c>
      <c r="V66">
        <v>1481</v>
      </c>
      <c r="W66">
        <v>2706</v>
      </c>
      <c r="X66">
        <v>6</v>
      </c>
      <c r="Y66">
        <v>4877</v>
      </c>
      <c r="Z66">
        <v>54</v>
      </c>
      <c r="AA66">
        <v>2116</v>
      </c>
      <c r="AB66">
        <v>662</v>
      </c>
      <c r="AC66">
        <v>150</v>
      </c>
      <c r="AD66">
        <v>400</v>
      </c>
      <c r="AE66">
        <v>344</v>
      </c>
      <c r="AF66">
        <v>67</v>
      </c>
      <c r="AG66">
        <v>1551</v>
      </c>
      <c r="AH66">
        <v>2114</v>
      </c>
      <c r="AI66">
        <v>1857</v>
      </c>
    </row>
    <row r="67" spans="1:35" x14ac:dyDescent="0.3">
      <c r="A67" s="3">
        <v>182</v>
      </c>
      <c r="B67">
        <v>1775</v>
      </c>
      <c r="C67">
        <v>1393</v>
      </c>
      <c r="D67">
        <v>190</v>
      </c>
      <c r="E67">
        <v>2743</v>
      </c>
      <c r="F67">
        <v>2307</v>
      </c>
      <c r="G67">
        <v>822</v>
      </c>
      <c r="H67">
        <v>274</v>
      </c>
      <c r="I67">
        <v>1070</v>
      </c>
      <c r="J67">
        <v>218</v>
      </c>
      <c r="K67">
        <v>210</v>
      </c>
      <c r="L67">
        <v>520</v>
      </c>
      <c r="M67">
        <v>1979</v>
      </c>
      <c r="N67">
        <v>1101</v>
      </c>
      <c r="O67">
        <v>1453</v>
      </c>
      <c r="P67">
        <v>1208</v>
      </c>
      <c r="Q67">
        <v>1487</v>
      </c>
      <c r="R67">
        <v>0</v>
      </c>
      <c r="S67">
        <v>679</v>
      </c>
      <c r="T67">
        <v>3271</v>
      </c>
      <c r="U67">
        <v>1076</v>
      </c>
      <c r="V67">
        <v>849</v>
      </c>
      <c r="W67">
        <v>472</v>
      </c>
      <c r="X67">
        <v>434</v>
      </c>
      <c r="Y67">
        <v>3405</v>
      </c>
      <c r="Z67">
        <v>1083</v>
      </c>
      <c r="AA67">
        <v>1869</v>
      </c>
      <c r="AB67">
        <v>2575</v>
      </c>
      <c r="AC67">
        <v>1021</v>
      </c>
      <c r="AD67">
        <v>61</v>
      </c>
      <c r="AE67">
        <v>261</v>
      </c>
      <c r="AF67">
        <v>177</v>
      </c>
      <c r="AG67">
        <v>1188</v>
      </c>
      <c r="AH67">
        <v>903</v>
      </c>
      <c r="AI67">
        <v>3406</v>
      </c>
    </row>
    <row r="68" spans="1:35" x14ac:dyDescent="0.3">
      <c r="A68" s="3">
        <v>183</v>
      </c>
      <c r="B68">
        <v>604</v>
      </c>
      <c r="C68">
        <v>1449</v>
      </c>
      <c r="D68">
        <v>1100</v>
      </c>
      <c r="E68">
        <v>2707</v>
      </c>
      <c r="F68">
        <v>902</v>
      </c>
      <c r="G68">
        <v>218</v>
      </c>
      <c r="H68">
        <v>1551</v>
      </c>
      <c r="I68">
        <v>423</v>
      </c>
      <c r="J68">
        <v>1114</v>
      </c>
      <c r="K68">
        <v>50</v>
      </c>
      <c r="L68">
        <v>602</v>
      </c>
      <c r="M68">
        <v>512</v>
      </c>
      <c r="N68">
        <v>2379</v>
      </c>
      <c r="O68">
        <v>3161</v>
      </c>
      <c r="P68">
        <v>722</v>
      </c>
      <c r="Q68">
        <v>151</v>
      </c>
      <c r="R68">
        <v>882</v>
      </c>
      <c r="S68">
        <v>2405</v>
      </c>
      <c r="T68">
        <v>2067</v>
      </c>
      <c r="U68">
        <v>771</v>
      </c>
      <c r="V68">
        <v>53</v>
      </c>
      <c r="W68">
        <v>731</v>
      </c>
      <c r="X68">
        <v>1549</v>
      </c>
      <c r="Y68">
        <v>2075</v>
      </c>
      <c r="Z68">
        <v>470</v>
      </c>
      <c r="AA68">
        <v>1646</v>
      </c>
      <c r="AB68">
        <v>1566</v>
      </c>
      <c r="AC68">
        <v>2142</v>
      </c>
      <c r="AD68">
        <v>2611</v>
      </c>
      <c r="AE68">
        <v>3389</v>
      </c>
      <c r="AF68">
        <v>586</v>
      </c>
      <c r="AG68">
        <v>271</v>
      </c>
      <c r="AH68">
        <v>3657</v>
      </c>
      <c r="AI68">
        <v>1524</v>
      </c>
    </row>
    <row r="69" spans="1:35" x14ac:dyDescent="0.3">
      <c r="A69" s="3">
        <v>184</v>
      </c>
      <c r="B69">
        <v>2755</v>
      </c>
      <c r="C69">
        <v>1911</v>
      </c>
      <c r="D69">
        <v>2948</v>
      </c>
      <c r="E69">
        <v>6045</v>
      </c>
      <c r="F69">
        <v>170</v>
      </c>
      <c r="G69">
        <v>961</v>
      </c>
      <c r="H69">
        <v>2518</v>
      </c>
      <c r="I69">
        <v>822</v>
      </c>
      <c r="J69">
        <v>2057</v>
      </c>
      <c r="K69">
        <v>1348</v>
      </c>
      <c r="L69">
        <v>1639</v>
      </c>
      <c r="M69">
        <v>2130</v>
      </c>
      <c r="N69">
        <v>2260</v>
      </c>
      <c r="O69">
        <v>498</v>
      </c>
      <c r="P69">
        <v>1322</v>
      </c>
      <c r="Q69">
        <v>2446</v>
      </c>
      <c r="R69">
        <v>1670</v>
      </c>
      <c r="S69">
        <v>1544</v>
      </c>
      <c r="T69">
        <v>2256</v>
      </c>
      <c r="U69">
        <v>27</v>
      </c>
      <c r="V69">
        <v>1266</v>
      </c>
      <c r="W69">
        <v>1962</v>
      </c>
      <c r="X69">
        <v>437</v>
      </c>
      <c r="Y69">
        <v>2617</v>
      </c>
      <c r="Z69">
        <v>76</v>
      </c>
      <c r="AA69">
        <v>1543</v>
      </c>
      <c r="AB69">
        <v>801</v>
      </c>
      <c r="AC69">
        <v>3050</v>
      </c>
      <c r="AD69">
        <v>2817</v>
      </c>
      <c r="AE69">
        <v>1575</v>
      </c>
      <c r="AF69">
        <v>682</v>
      </c>
      <c r="AG69">
        <v>1208</v>
      </c>
      <c r="AH69">
        <v>1954</v>
      </c>
      <c r="AI69">
        <v>2609</v>
      </c>
    </row>
    <row r="70" spans="1:35" x14ac:dyDescent="0.3">
      <c r="A70" s="3">
        <v>185</v>
      </c>
      <c r="B70">
        <v>987</v>
      </c>
      <c r="C70">
        <v>3438</v>
      </c>
      <c r="D70">
        <v>2833</v>
      </c>
      <c r="E70">
        <v>390</v>
      </c>
      <c r="F70">
        <v>729</v>
      </c>
      <c r="G70">
        <v>733</v>
      </c>
      <c r="H70">
        <v>711</v>
      </c>
      <c r="I70">
        <v>764</v>
      </c>
      <c r="J70">
        <v>2292</v>
      </c>
      <c r="K70">
        <v>1148</v>
      </c>
      <c r="L70">
        <v>213</v>
      </c>
      <c r="M70">
        <v>4268</v>
      </c>
      <c r="N70">
        <v>1936</v>
      </c>
      <c r="O70">
        <v>47</v>
      </c>
      <c r="P70">
        <v>357</v>
      </c>
      <c r="Q70">
        <v>2719</v>
      </c>
      <c r="R70">
        <v>2124</v>
      </c>
      <c r="S70">
        <v>1516</v>
      </c>
      <c r="T70">
        <v>1917</v>
      </c>
      <c r="U70">
        <v>959</v>
      </c>
      <c r="V70">
        <v>2130</v>
      </c>
      <c r="W70">
        <v>2468</v>
      </c>
      <c r="X70">
        <v>3026</v>
      </c>
      <c r="Y70">
        <v>3967</v>
      </c>
      <c r="Z70">
        <v>245</v>
      </c>
      <c r="AA70">
        <v>6851</v>
      </c>
      <c r="AB70">
        <v>470</v>
      </c>
      <c r="AC70">
        <v>2584</v>
      </c>
      <c r="AD70">
        <v>2132</v>
      </c>
      <c r="AE70">
        <v>64</v>
      </c>
      <c r="AF70">
        <v>1272</v>
      </c>
      <c r="AG70">
        <v>2241</v>
      </c>
      <c r="AH70">
        <v>1687</v>
      </c>
      <c r="AI70">
        <v>2783</v>
      </c>
    </row>
    <row r="71" spans="1:35" x14ac:dyDescent="0.3">
      <c r="A71" s="3">
        <v>186</v>
      </c>
      <c r="B71">
        <v>94</v>
      </c>
      <c r="C71">
        <v>1374</v>
      </c>
      <c r="D71">
        <v>70</v>
      </c>
      <c r="E71">
        <v>132</v>
      </c>
      <c r="F71">
        <v>358</v>
      </c>
      <c r="G71">
        <v>624</v>
      </c>
      <c r="H71">
        <v>4638</v>
      </c>
      <c r="I71">
        <v>1178</v>
      </c>
      <c r="J71">
        <v>861</v>
      </c>
      <c r="K71">
        <v>1503</v>
      </c>
      <c r="L71">
        <v>26</v>
      </c>
      <c r="M71">
        <v>2016</v>
      </c>
      <c r="N71">
        <v>783</v>
      </c>
      <c r="O71">
        <v>302</v>
      </c>
      <c r="P71">
        <v>868</v>
      </c>
      <c r="Q71">
        <v>2436</v>
      </c>
      <c r="R71">
        <v>768</v>
      </c>
      <c r="S71">
        <v>396</v>
      </c>
      <c r="T71">
        <v>422</v>
      </c>
      <c r="U71">
        <v>844</v>
      </c>
      <c r="V71">
        <v>2173</v>
      </c>
      <c r="W71">
        <v>2828</v>
      </c>
      <c r="X71">
        <v>1856</v>
      </c>
      <c r="Y71">
        <v>77</v>
      </c>
      <c r="Z71">
        <v>1379</v>
      </c>
      <c r="AA71">
        <v>2436</v>
      </c>
      <c r="AB71">
        <v>6362</v>
      </c>
      <c r="AC71">
        <v>4133</v>
      </c>
      <c r="AD71">
        <v>1917</v>
      </c>
      <c r="AE71">
        <v>258</v>
      </c>
      <c r="AF71">
        <v>73</v>
      </c>
      <c r="AG71">
        <v>1754</v>
      </c>
      <c r="AH71">
        <v>1560</v>
      </c>
      <c r="AI71">
        <v>4445</v>
      </c>
    </row>
    <row r="72" spans="1:35" x14ac:dyDescent="0.3">
      <c r="A72" s="3">
        <v>187</v>
      </c>
      <c r="B72">
        <v>253</v>
      </c>
      <c r="C72">
        <v>76</v>
      </c>
      <c r="D72">
        <v>10</v>
      </c>
      <c r="E72">
        <v>1171</v>
      </c>
      <c r="F72">
        <v>451</v>
      </c>
      <c r="G72">
        <v>1929</v>
      </c>
      <c r="H72">
        <v>645</v>
      </c>
      <c r="I72">
        <v>791</v>
      </c>
      <c r="J72">
        <v>1821</v>
      </c>
      <c r="K72">
        <v>455</v>
      </c>
      <c r="L72">
        <v>3715</v>
      </c>
      <c r="M72">
        <v>719</v>
      </c>
      <c r="N72">
        <v>1</v>
      </c>
      <c r="O72">
        <v>1379</v>
      </c>
      <c r="P72">
        <v>1877</v>
      </c>
      <c r="Q72">
        <v>5246</v>
      </c>
      <c r="R72">
        <v>905</v>
      </c>
      <c r="S72">
        <v>1251</v>
      </c>
      <c r="T72">
        <v>753</v>
      </c>
      <c r="U72">
        <v>1210</v>
      </c>
      <c r="V72">
        <v>1032</v>
      </c>
      <c r="W72">
        <v>704</v>
      </c>
      <c r="X72">
        <v>1957</v>
      </c>
      <c r="Y72">
        <v>394</v>
      </c>
      <c r="Z72">
        <v>1178</v>
      </c>
      <c r="AA72">
        <v>4524</v>
      </c>
      <c r="AB72">
        <v>636</v>
      </c>
      <c r="AC72">
        <v>4155</v>
      </c>
      <c r="AD72">
        <v>2139</v>
      </c>
      <c r="AE72">
        <v>211</v>
      </c>
      <c r="AF72">
        <v>99</v>
      </c>
      <c r="AG72">
        <v>1015</v>
      </c>
      <c r="AH72">
        <v>45</v>
      </c>
      <c r="AI72">
        <v>3401</v>
      </c>
    </row>
    <row r="73" spans="1:35" x14ac:dyDescent="0.3">
      <c r="A73" s="3">
        <v>188</v>
      </c>
      <c r="B73">
        <v>490</v>
      </c>
      <c r="C73">
        <v>1684</v>
      </c>
      <c r="D73">
        <v>996</v>
      </c>
      <c r="E73">
        <v>1334</v>
      </c>
      <c r="F73">
        <v>364</v>
      </c>
      <c r="G73">
        <v>964</v>
      </c>
      <c r="H73">
        <v>1017</v>
      </c>
      <c r="I73">
        <v>1543</v>
      </c>
      <c r="J73">
        <v>1521</v>
      </c>
      <c r="K73">
        <v>1368</v>
      </c>
      <c r="L73">
        <v>2495</v>
      </c>
      <c r="M73">
        <v>2284</v>
      </c>
      <c r="N73">
        <v>456</v>
      </c>
      <c r="O73">
        <v>648</v>
      </c>
      <c r="P73">
        <v>7643</v>
      </c>
      <c r="Q73">
        <v>4917</v>
      </c>
      <c r="R73">
        <v>514</v>
      </c>
      <c r="S73">
        <v>2792</v>
      </c>
      <c r="T73">
        <v>3048</v>
      </c>
      <c r="U73">
        <v>1313</v>
      </c>
      <c r="V73">
        <v>411</v>
      </c>
      <c r="W73">
        <v>1180</v>
      </c>
      <c r="X73">
        <v>1474</v>
      </c>
      <c r="Y73">
        <v>218</v>
      </c>
      <c r="Z73">
        <v>3300</v>
      </c>
      <c r="AA73">
        <v>864</v>
      </c>
      <c r="AB73">
        <v>1723</v>
      </c>
      <c r="AC73">
        <v>648</v>
      </c>
      <c r="AD73">
        <v>1853</v>
      </c>
      <c r="AE73">
        <v>1356</v>
      </c>
      <c r="AF73">
        <v>7</v>
      </c>
      <c r="AG73">
        <v>2063</v>
      </c>
      <c r="AH73">
        <v>1962</v>
      </c>
      <c r="AI73">
        <v>1317</v>
      </c>
    </row>
    <row r="74" spans="1:35" x14ac:dyDescent="0.3">
      <c r="A74" s="3">
        <v>189</v>
      </c>
      <c r="B74">
        <v>3679</v>
      </c>
      <c r="C74">
        <v>930</v>
      </c>
      <c r="D74">
        <v>709</v>
      </c>
      <c r="E74">
        <v>833</v>
      </c>
      <c r="F74">
        <v>3178</v>
      </c>
      <c r="G74">
        <v>2382</v>
      </c>
      <c r="H74">
        <v>656</v>
      </c>
      <c r="I74">
        <v>598</v>
      </c>
      <c r="J74">
        <v>2323</v>
      </c>
      <c r="K74">
        <v>291</v>
      </c>
      <c r="L74">
        <v>2060</v>
      </c>
      <c r="M74">
        <v>131</v>
      </c>
      <c r="N74">
        <v>197</v>
      </c>
      <c r="O74">
        <v>1464</v>
      </c>
      <c r="P74">
        <v>2757</v>
      </c>
      <c r="Q74">
        <v>1004</v>
      </c>
      <c r="R74">
        <v>1066</v>
      </c>
      <c r="S74">
        <v>1632</v>
      </c>
      <c r="T74">
        <v>1706</v>
      </c>
      <c r="U74">
        <v>841</v>
      </c>
      <c r="V74">
        <v>700</v>
      </c>
      <c r="W74">
        <v>5</v>
      </c>
      <c r="X74">
        <v>990</v>
      </c>
      <c r="Y74">
        <v>5347</v>
      </c>
      <c r="Z74">
        <v>1727</v>
      </c>
      <c r="AA74">
        <v>439</v>
      </c>
      <c r="AB74">
        <v>4379</v>
      </c>
      <c r="AC74">
        <v>3282</v>
      </c>
      <c r="AD74">
        <v>3351</v>
      </c>
      <c r="AE74">
        <v>516</v>
      </c>
      <c r="AF74">
        <v>1</v>
      </c>
      <c r="AG74">
        <v>1766</v>
      </c>
      <c r="AH74">
        <v>1085</v>
      </c>
      <c r="AI74">
        <v>4294</v>
      </c>
    </row>
    <row r="75" spans="1:35" x14ac:dyDescent="0.3">
      <c r="A75" s="3">
        <v>190</v>
      </c>
      <c r="B75">
        <v>281</v>
      </c>
      <c r="C75">
        <v>3613</v>
      </c>
      <c r="D75">
        <v>2109</v>
      </c>
      <c r="E75">
        <v>5578</v>
      </c>
      <c r="F75">
        <v>1458</v>
      </c>
      <c r="G75">
        <v>1561</v>
      </c>
      <c r="H75">
        <v>164</v>
      </c>
      <c r="I75">
        <v>1707</v>
      </c>
      <c r="J75">
        <v>408</v>
      </c>
      <c r="K75">
        <v>58</v>
      </c>
      <c r="L75">
        <v>1830</v>
      </c>
      <c r="M75">
        <v>511</v>
      </c>
      <c r="N75">
        <v>1710</v>
      </c>
      <c r="O75">
        <v>807</v>
      </c>
      <c r="P75">
        <v>1583</v>
      </c>
      <c r="Q75">
        <v>34</v>
      </c>
      <c r="R75">
        <v>1197</v>
      </c>
      <c r="S75">
        <v>4175</v>
      </c>
      <c r="T75">
        <v>2758</v>
      </c>
      <c r="U75">
        <v>1987</v>
      </c>
      <c r="V75">
        <v>294</v>
      </c>
      <c r="W75">
        <v>1324</v>
      </c>
      <c r="X75">
        <v>1012</v>
      </c>
      <c r="Y75">
        <v>2921</v>
      </c>
      <c r="Z75">
        <v>882</v>
      </c>
      <c r="AA75">
        <v>332</v>
      </c>
      <c r="AB75">
        <v>1735</v>
      </c>
      <c r="AC75">
        <v>1772</v>
      </c>
      <c r="AD75">
        <v>1320</v>
      </c>
      <c r="AE75">
        <v>1512</v>
      </c>
      <c r="AF75">
        <v>233</v>
      </c>
      <c r="AG75">
        <v>430</v>
      </c>
      <c r="AH75">
        <v>3713</v>
      </c>
      <c r="AI75">
        <v>7707</v>
      </c>
    </row>
    <row r="76" spans="1:35" x14ac:dyDescent="0.3">
      <c r="A76" s="3">
        <v>191</v>
      </c>
      <c r="B76">
        <v>20</v>
      </c>
      <c r="C76">
        <v>4184</v>
      </c>
      <c r="D76">
        <v>1482</v>
      </c>
      <c r="E76">
        <v>3682</v>
      </c>
      <c r="F76">
        <v>562</v>
      </c>
      <c r="G76">
        <v>861</v>
      </c>
      <c r="H76">
        <v>1613</v>
      </c>
      <c r="I76">
        <v>327</v>
      </c>
      <c r="J76">
        <v>4559</v>
      </c>
      <c r="K76">
        <v>552</v>
      </c>
      <c r="L76">
        <v>614</v>
      </c>
      <c r="M76">
        <v>2556</v>
      </c>
      <c r="N76">
        <v>1028</v>
      </c>
      <c r="O76">
        <v>307</v>
      </c>
      <c r="P76">
        <v>58</v>
      </c>
      <c r="Q76">
        <v>248</v>
      </c>
      <c r="R76">
        <v>337</v>
      </c>
      <c r="S76">
        <v>450</v>
      </c>
      <c r="T76">
        <v>1223</v>
      </c>
      <c r="U76">
        <v>421</v>
      </c>
      <c r="V76">
        <v>568</v>
      </c>
      <c r="W76">
        <v>6550</v>
      </c>
      <c r="X76">
        <v>1140</v>
      </c>
      <c r="Y76">
        <v>4001</v>
      </c>
      <c r="Z76">
        <v>971</v>
      </c>
      <c r="AA76">
        <v>305</v>
      </c>
      <c r="AB76">
        <v>1336</v>
      </c>
      <c r="AC76">
        <v>1609</v>
      </c>
      <c r="AD76">
        <v>1303</v>
      </c>
      <c r="AE76">
        <v>4042</v>
      </c>
      <c r="AF76">
        <v>4225</v>
      </c>
      <c r="AG76">
        <v>305</v>
      </c>
      <c r="AH76">
        <v>1360</v>
      </c>
      <c r="AI76">
        <v>1487</v>
      </c>
    </row>
    <row r="77" spans="1:35" x14ac:dyDescent="0.3">
      <c r="A77" s="3">
        <v>192</v>
      </c>
      <c r="B77">
        <v>1329</v>
      </c>
      <c r="C77">
        <v>2423</v>
      </c>
      <c r="D77">
        <v>216</v>
      </c>
      <c r="E77">
        <v>2755</v>
      </c>
      <c r="F77">
        <v>633</v>
      </c>
      <c r="G77">
        <v>1984</v>
      </c>
      <c r="H77">
        <v>2720</v>
      </c>
      <c r="I77">
        <v>70</v>
      </c>
      <c r="J77">
        <v>1534</v>
      </c>
      <c r="K77">
        <v>1053</v>
      </c>
      <c r="L77">
        <v>1392</v>
      </c>
      <c r="M77">
        <v>282</v>
      </c>
      <c r="N77">
        <v>2185</v>
      </c>
      <c r="O77">
        <v>138</v>
      </c>
      <c r="P77">
        <v>2747</v>
      </c>
      <c r="Q77">
        <v>1701</v>
      </c>
      <c r="R77">
        <v>555</v>
      </c>
      <c r="S77">
        <v>2005</v>
      </c>
      <c r="T77">
        <v>190</v>
      </c>
      <c r="U77">
        <v>1570</v>
      </c>
      <c r="V77">
        <v>257</v>
      </c>
      <c r="W77">
        <v>2791</v>
      </c>
      <c r="X77">
        <v>932</v>
      </c>
      <c r="Y77">
        <v>3293</v>
      </c>
      <c r="Z77">
        <v>1304</v>
      </c>
      <c r="AA77">
        <v>1081</v>
      </c>
      <c r="AB77">
        <v>3522</v>
      </c>
      <c r="AC77">
        <v>2708</v>
      </c>
      <c r="AD77">
        <v>1446</v>
      </c>
      <c r="AE77">
        <v>913</v>
      </c>
      <c r="AF77">
        <v>1384</v>
      </c>
      <c r="AG77">
        <v>1680</v>
      </c>
      <c r="AH77">
        <v>1956</v>
      </c>
      <c r="AI77">
        <v>3211</v>
      </c>
    </row>
    <row r="78" spans="1:35" x14ac:dyDescent="0.3">
      <c r="A78" s="3">
        <v>193</v>
      </c>
      <c r="B78">
        <v>1683</v>
      </c>
      <c r="C78">
        <v>1499</v>
      </c>
      <c r="D78">
        <v>222</v>
      </c>
      <c r="E78">
        <v>1233</v>
      </c>
      <c r="F78">
        <v>602</v>
      </c>
      <c r="G78">
        <v>2608</v>
      </c>
      <c r="H78">
        <v>3422</v>
      </c>
      <c r="I78">
        <v>854</v>
      </c>
      <c r="J78">
        <v>1172</v>
      </c>
      <c r="K78">
        <v>2385</v>
      </c>
      <c r="L78">
        <v>2217</v>
      </c>
      <c r="M78">
        <v>62</v>
      </c>
      <c r="N78">
        <v>103</v>
      </c>
      <c r="O78">
        <v>44</v>
      </c>
      <c r="P78">
        <v>723</v>
      </c>
      <c r="Q78">
        <v>431</v>
      </c>
      <c r="R78">
        <v>802</v>
      </c>
      <c r="S78">
        <v>1875</v>
      </c>
      <c r="T78">
        <v>2025</v>
      </c>
      <c r="U78">
        <v>438</v>
      </c>
      <c r="V78">
        <v>272</v>
      </c>
      <c r="W78">
        <v>5742</v>
      </c>
      <c r="X78">
        <v>787</v>
      </c>
      <c r="Y78">
        <v>2178</v>
      </c>
      <c r="Z78">
        <v>1452</v>
      </c>
      <c r="AA78">
        <v>2720</v>
      </c>
      <c r="AB78">
        <v>1567</v>
      </c>
      <c r="AC78">
        <v>5650</v>
      </c>
      <c r="AD78">
        <v>1670</v>
      </c>
      <c r="AE78">
        <v>350</v>
      </c>
      <c r="AF78">
        <v>702</v>
      </c>
      <c r="AG78">
        <v>865</v>
      </c>
      <c r="AH78">
        <v>2062</v>
      </c>
      <c r="AI78">
        <v>2519</v>
      </c>
    </row>
    <row r="79" spans="1:35" x14ac:dyDescent="0.3">
      <c r="A79" s="3">
        <v>194</v>
      </c>
      <c r="B79">
        <v>1021</v>
      </c>
      <c r="C79">
        <v>1190</v>
      </c>
      <c r="D79">
        <v>839</v>
      </c>
      <c r="E79">
        <v>2907</v>
      </c>
      <c r="F79">
        <v>2045</v>
      </c>
      <c r="G79">
        <v>287</v>
      </c>
      <c r="H79">
        <v>1307</v>
      </c>
      <c r="I79">
        <v>927</v>
      </c>
      <c r="J79">
        <v>418</v>
      </c>
      <c r="K79">
        <v>971</v>
      </c>
      <c r="L79">
        <v>3856</v>
      </c>
      <c r="M79">
        <v>1356</v>
      </c>
      <c r="N79">
        <v>754</v>
      </c>
      <c r="O79">
        <v>936</v>
      </c>
      <c r="P79">
        <v>5533</v>
      </c>
      <c r="Q79">
        <v>1187</v>
      </c>
      <c r="R79">
        <v>1732</v>
      </c>
      <c r="S79">
        <v>159</v>
      </c>
      <c r="T79">
        <v>1734</v>
      </c>
      <c r="U79">
        <v>1990</v>
      </c>
      <c r="V79">
        <v>1417</v>
      </c>
      <c r="W79">
        <v>2611</v>
      </c>
      <c r="X79">
        <v>643</v>
      </c>
      <c r="Y79">
        <v>931</v>
      </c>
      <c r="Z79">
        <v>1715</v>
      </c>
      <c r="AA79">
        <v>4582</v>
      </c>
      <c r="AB79">
        <v>2498</v>
      </c>
      <c r="AC79">
        <v>2907</v>
      </c>
      <c r="AD79">
        <v>1310</v>
      </c>
      <c r="AE79">
        <v>1027</v>
      </c>
      <c r="AF79">
        <v>373</v>
      </c>
      <c r="AG79">
        <v>1121</v>
      </c>
      <c r="AH79">
        <v>2074</v>
      </c>
      <c r="AI79">
        <v>1125</v>
      </c>
    </row>
    <row r="80" spans="1:35" x14ac:dyDescent="0.3">
      <c r="A80" s="3">
        <v>195</v>
      </c>
      <c r="B80">
        <v>4210</v>
      </c>
      <c r="C80">
        <v>548</v>
      </c>
      <c r="D80">
        <v>560</v>
      </c>
      <c r="E80">
        <v>1979</v>
      </c>
      <c r="F80">
        <v>1552</v>
      </c>
      <c r="G80">
        <v>931</v>
      </c>
      <c r="H80">
        <v>1468</v>
      </c>
      <c r="I80">
        <v>477</v>
      </c>
      <c r="J80">
        <v>314</v>
      </c>
      <c r="K80">
        <v>167</v>
      </c>
      <c r="L80">
        <v>3646</v>
      </c>
      <c r="M80">
        <v>1202</v>
      </c>
      <c r="N80">
        <v>205</v>
      </c>
      <c r="O80">
        <v>3217</v>
      </c>
      <c r="P80">
        <v>2378</v>
      </c>
      <c r="Q80">
        <v>1605</v>
      </c>
      <c r="R80">
        <v>305</v>
      </c>
      <c r="S80">
        <v>318</v>
      </c>
      <c r="T80">
        <v>4660</v>
      </c>
      <c r="U80">
        <v>3305</v>
      </c>
      <c r="V80">
        <v>26</v>
      </c>
      <c r="W80">
        <v>2313</v>
      </c>
      <c r="X80">
        <v>742</v>
      </c>
      <c r="Y80">
        <v>2512</v>
      </c>
      <c r="Z80">
        <v>937</v>
      </c>
      <c r="AA80">
        <v>5101</v>
      </c>
      <c r="AB80">
        <v>2033</v>
      </c>
      <c r="AC80">
        <v>3416</v>
      </c>
      <c r="AD80">
        <v>234</v>
      </c>
      <c r="AE80">
        <v>1429</v>
      </c>
      <c r="AF80">
        <v>254</v>
      </c>
      <c r="AG80">
        <v>1429</v>
      </c>
      <c r="AH80">
        <v>500</v>
      </c>
      <c r="AI80">
        <v>750</v>
      </c>
    </row>
    <row r="81" spans="1:36" x14ac:dyDescent="0.3">
      <c r="A81" s="3">
        <v>196</v>
      </c>
      <c r="B81">
        <v>255</v>
      </c>
      <c r="C81">
        <v>94</v>
      </c>
      <c r="D81">
        <v>3556</v>
      </c>
      <c r="E81">
        <v>2595</v>
      </c>
      <c r="F81">
        <v>1635</v>
      </c>
      <c r="G81">
        <v>842</v>
      </c>
      <c r="H81">
        <v>1806</v>
      </c>
      <c r="I81">
        <v>661</v>
      </c>
      <c r="J81">
        <v>727</v>
      </c>
      <c r="K81">
        <v>349</v>
      </c>
      <c r="L81">
        <v>631</v>
      </c>
      <c r="M81">
        <v>1369</v>
      </c>
      <c r="N81">
        <v>404</v>
      </c>
      <c r="O81">
        <v>2134</v>
      </c>
      <c r="P81">
        <v>528</v>
      </c>
      <c r="Q81">
        <v>1148</v>
      </c>
      <c r="R81">
        <v>49</v>
      </c>
      <c r="S81">
        <v>275</v>
      </c>
      <c r="T81">
        <v>1756</v>
      </c>
      <c r="U81">
        <v>1824</v>
      </c>
      <c r="V81">
        <v>1131</v>
      </c>
      <c r="W81">
        <v>176</v>
      </c>
      <c r="X81">
        <v>255</v>
      </c>
      <c r="Y81">
        <v>816</v>
      </c>
      <c r="Z81">
        <v>679</v>
      </c>
      <c r="AA81">
        <v>3404</v>
      </c>
      <c r="AB81">
        <v>1138</v>
      </c>
      <c r="AC81">
        <v>2322</v>
      </c>
      <c r="AD81">
        <v>974</v>
      </c>
      <c r="AE81">
        <v>784</v>
      </c>
      <c r="AF81">
        <v>2212</v>
      </c>
      <c r="AG81">
        <v>877</v>
      </c>
      <c r="AH81">
        <v>1733</v>
      </c>
      <c r="AI81">
        <v>861</v>
      </c>
    </row>
    <row r="82" spans="1:36" x14ac:dyDescent="0.3">
      <c r="A82" s="3">
        <v>197</v>
      </c>
      <c r="B82">
        <v>72</v>
      </c>
      <c r="C82">
        <v>601</v>
      </c>
      <c r="D82">
        <v>4923</v>
      </c>
      <c r="E82">
        <v>1562</v>
      </c>
      <c r="F82">
        <v>1332</v>
      </c>
      <c r="G82">
        <v>814</v>
      </c>
      <c r="H82">
        <v>731</v>
      </c>
      <c r="I82">
        <v>241</v>
      </c>
      <c r="J82">
        <v>1131</v>
      </c>
      <c r="K82">
        <v>785</v>
      </c>
      <c r="L82">
        <v>1935</v>
      </c>
      <c r="M82">
        <v>2425</v>
      </c>
      <c r="N82">
        <v>403</v>
      </c>
      <c r="O82">
        <v>2716</v>
      </c>
      <c r="P82">
        <v>5315</v>
      </c>
      <c r="Q82">
        <v>239</v>
      </c>
      <c r="R82">
        <v>2629</v>
      </c>
      <c r="S82">
        <v>969</v>
      </c>
      <c r="T82">
        <v>1972</v>
      </c>
      <c r="U82">
        <v>1255</v>
      </c>
      <c r="V82">
        <v>1782</v>
      </c>
      <c r="W82">
        <v>125</v>
      </c>
      <c r="X82">
        <v>970</v>
      </c>
      <c r="Y82">
        <v>3722</v>
      </c>
      <c r="Z82">
        <v>77</v>
      </c>
      <c r="AA82">
        <v>1636</v>
      </c>
      <c r="AB82">
        <v>1990</v>
      </c>
      <c r="AC82">
        <v>1255</v>
      </c>
      <c r="AD82">
        <v>47</v>
      </c>
      <c r="AE82">
        <v>2546</v>
      </c>
      <c r="AF82">
        <v>1531</v>
      </c>
      <c r="AG82">
        <v>4905</v>
      </c>
      <c r="AH82">
        <v>2026</v>
      </c>
      <c r="AI82">
        <v>5522</v>
      </c>
    </row>
    <row r="83" spans="1:36" x14ac:dyDescent="0.3">
      <c r="A83" s="3">
        <v>198</v>
      </c>
      <c r="B83">
        <v>175</v>
      </c>
      <c r="C83">
        <v>472</v>
      </c>
      <c r="D83">
        <v>1751</v>
      </c>
      <c r="E83">
        <v>2638</v>
      </c>
      <c r="F83">
        <v>1028</v>
      </c>
      <c r="G83">
        <v>146</v>
      </c>
      <c r="H83">
        <v>461</v>
      </c>
      <c r="I83">
        <v>1069</v>
      </c>
      <c r="J83">
        <v>1053</v>
      </c>
      <c r="K83">
        <v>595</v>
      </c>
      <c r="L83">
        <v>606</v>
      </c>
      <c r="M83">
        <v>729</v>
      </c>
      <c r="N83">
        <v>25</v>
      </c>
      <c r="O83">
        <v>2610</v>
      </c>
      <c r="P83">
        <v>112</v>
      </c>
      <c r="Q83">
        <v>1255</v>
      </c>
      <c r="R83">
        <v>1583</v>
      </c>
      <c r="S83">
        <v>450</v>
      </c>
      <c r="T83">
        <v>273</v>
      </c>
      <c r="U83">
        <v>623</v>
      </c>
      <c r="V83">
        <v>139</v>
      </c>
      <c r="W83">
        <v>688</v>
      </c>
      <c r="X83">
        <v>2013</v>
      </c>
      <c r="Y83">
        <v>2357</v>
      </c>
      <c r="Z83">
        <v>552</v>
      </c>
      <c r="AA83">
        <v>1915</v>
      </c>
      <c r="AB83">
        <v>3347</v>
      </c>
      <c r="AC83">
        <v>5061</v>
      </c>
      <c r="AD83">
        <v>1386</v>
      </c>
      <c r="AE83">
        <v>2207</v>
      </c>
      <c r="AF83">
        <v>197</v>
      </c>
      <c r="AG83">
        <v>1550</v>
      </c>
      <c r="AH83">
        <v>618</v>
      </c>
      <c r="AI83">
        <v>3153</v>
      </c>
    </row>
    <row r="84" spans="1:36" x14ac:dyDescent="0.3">
      <c r="A84" s="3">
        <v>199</v>
      </c>
      <c r="B84">
        <v>190</v>
      </c>
      <c r="C84">
        <v>937</v>
      </c>
      <c r="D84">
        <v>940</v>
      </c>
      <c r="E84">
        <v>1481</v>
      </c>
      <c r="F84">
        <v>2819</v>
      </c>
      <c r="G84">
        <v>221</v>
      </c>
      <c r="H84">
        <v>2828</v>
      </c>
      <c r="I84">
        <v>1166</v>
      </c>
      <c r="J84">
        <v>1913</v>
      </c>
      <c r="K84">
        <v>1488</v>
      </c>
      <c r="L84">
        <v>2216</v>
      </c>
      <c r="M84">
        <v>183</v>
      </c>
      <c r="N84">
        <v>1353</v>
      </c>
      <c r="O84">
        <v>984</v>
      </c>
      <c r="P84">
        <v>2524</v>
      </c>
      <c r="Q84">
        <v>2099</v>
      </c>
      <c r="R84">
        <v>1001</v>
      </c>
      <c r="S84">
        <v>668</v>
      </c>
      <c r="T84">
        <v>2065</v>
      </c>
      <c r="U84">
        <v>1301</v>
      </c>
      <c r="V84">
        <v>143</v>
      </c>
      <c r="W84">
        <v>4395</v>
      </c>
      <c r="X84">
        <v>35</v>
      </c>
      <c r="Y84">
        <v>1667</v>
      </c>
      <c r="Z84">
        <v>819</v>
      </c>
      <c r="AA84">
        <v>663</v>
      </c>
      <c r="AB84">
        <v>6097</v>
      </c>
      <c r="AC84">
        <v>794</v>
      </c>
      <c r="AD84">
        <v>3977</v>
      </c>
      <c r="AE84">
        <v>1277</v>
      </c>
      <c r="AF84">
        <v>175</v>
      </c>
      <c r="AG84">
        <v>2798</v>
      </c>
      <c r="AH84">
        <v>244</v>
      </c>
      <c r="AI84">
        <v>2332</v>
      </c>
    </row>
    <row r="85" spans="1:36" x14ac:dyDescent="0.3">
      <c r="A85" s="3">
        <v>200</v>
      </c>
      <c r="B85">
        <v>519</v>
      </c>
      <c r="C85">
        <v>1156</v>
      </c>
      <c r="D85">
        <v>1398</v>
      </c>
      <c r="E85">
        <v>1894</v>
      </c>
      <c r="F85">
        <v>12856</v>
      </c>
      <c r="G85">
        <v>1627</v>
      </c>
      <c r="H85">
        <v>2208</v>
      </c>
      <c r="I85">
        <v>339</v>
      </c>
      <c r="J85">
        <v>3262</v>
      </c>
      <c r="K85">
        <v>831</v>
      </c>
      <c r="L85">
        <v>561</v>
      </c>
      <c r="M85">
        <v>3689</v>
      </c>
      <c r="N85">
        <v>776</v>
      </c>
      <c r="O85">
        <v>2432</v>
      </c>
      <c r="P85">
        <v>0</v>
      </c>
      <c r="Q85">
        <v>2203</v>
      </c>
      <c r="R85">
        <v>1173</v>
      </c>
      <c r="S85">
        <v>2549</v>
      </c>
      <c r="T85">
        <v>2199</v>
      </c>
      <c r="U85">
        <v>1141</v>
      </c>
      <c r="V85">
        <v>1455</v>
      </c>
      <c r="W85">
        <v>1499</v>
      </c>
      <c r="X85">
        <v>465</v>
      </c>
      <c r="Y85">
        <v>5826</v>
      </c>
      <c r="Z85">
        <v>975</v>
      </c>
      <c r="AA85">
        <v>1154</v>
      </c>
      <c r="AB85">
        <v>2311</v>
      </c>
      <c r="AC85">
        <v>2522</v>
      </c>
      <c r="AD85">
        <v>2219</v>
      </c>
      <c r="AE85">
        <v>1829</v>
      </c>
      <c r="AF85">
        <v>477</v>
      </c>
      <c r="AG85">
        <v>2503</v>
      </c>
      <c r="AH85">
        <v>3557</v>
      </c>
      <c r="AI85">
        <v>5211</v>
      </c>
    </row>
    <row r="86" spans="1:36" x14ac:dyDescent="0.3">
      <c r="A86" s="3">
        <v>201</v>
      </c>
      <c r="B86">
        <v>1714</v>
      </c>
      <c r="C86">
        <v>1017</v>
      </c>
      <c r="D86">
        <v>3513</v>
      </c>
      <c r="E86">
        <v>911</v>
      </c>
      <c r="F86">
        <v>877</v>
      </c>
      <c r="G86">
        <v>966</v>
      </c>
      <c r="H86">
        <v>3174</v>
      </c>
      <c r="I86">
        <v>1650</v>
      </c>
      <c r="J86">
        <v>443</v>
      </c>
      <c r="K86">
        <v>638</v>
      </c>
      <c r="L86">
        <v>308</v>
      </c>
      <c r="M86">
        <v>3887</v>
      </c>
      <c r="N86">
        <v>260</v>
      </c>
      <c r="O86">
        <v>2365</v>
      </c>
      <c r="P86">
        <v>609</v>
      </c>
      <c r="Q86">
        <v>1492</v>
      </c>
      <c r="R86">
        <v>41</v>
      </c>
      <c r="S86">
        <v>627</v>
      </c>
      <c r="T86">
        <v>202</v>
      </c>
      <c r="U86">
        <v>443</v>
      </c>
      <c r="V86">
        <v>610</v>
      </c>
      <c r="W86">
        <v>1813</v>
      </c>
      <c r="X86">
        <v>4</v>
      </c>
      <c r="Y86">
        <v>2138</v>
      </c>
      <c r="Z86">
        <v>2906</v>
      </c>
      <c r="AA86">
        <v>2085</v>
      </c>
      <c r="AB86">
        <v>6429</v>
      </c>
      <c r="AC86">
        <v>3239</v>
      </c>
      <c r="AD86">
        <v>1474</v>
      </c>
      <c r="AE86">
        <v>734</v>
      </c>
      <c r="AF86">
        <v>352</v>
      </c>
      <c r="AG86">
        <v>21</v>
      </c>
      <c r="AH86">
        <v>177</v>
      </c>
      <c r="AI86">
        <v>4033</v>
      </c>
    </row>
    <row r="87" spans="1:36" x14ac:dyDescent="0.3">
      <c r="A87" s="3">
        <v>202</v>
      </c>
      <c r="B87">
        <v>717</v>
      </c>
      <c r="C87">
        <v>897</v>
      </c>
      <c r="D87">
        <v>2606</v>
      </c>
      <c r="E87">
        <v>2587</v>
      </c>
      <c r="F87">
        <v>4813</v>
      </c>
      <c r="G87">
        <v>1176</v>
      </c>
      <c r="H87">
        <v>487</v>
      </c>
      <c r="I87">
        <v>58</v>
      </c>
      <c r="J87">
        <v>344</v>
      </c>
      <c r="K87">
        <v>1125</v>
      </c>
      <c r="L87">
        <v>69</v>
      </c>
      <c r="M87">
        <v>311</v>
      </c>
      <c r="N87">
        <v>154</v>
      </c>
      <c r="O87">
        <v>1611</v>
      </c>
      <c r="P87">
        <v>172</v>
      </c>
      <c r="Q87">
        <v>1504</v>
      </c>
      <c r="R87">
        <v>1009</v>
      </c>
      <c r="S87">
        <v>700</v>
      </c>
      <c r="T87">
        <v>2496</v>
      </c>
      <c r="U87">
        <v>1855</v>
      </c>
      <c r="V87">
        <v>410</v>
      </c>
      <c r="W87">
        <v>744</v>
      </c>
      <c r="X87">
        <v>1604</v>
      </c>
      <c r="Y87">
        <v>2091</v>
      </c>
      <c r="Z87">
        <v>1184</v>
      </c>
      <c r="AA87">
        <v>2324</v>
      </c>
      <c r="AB87">
        <v>3083</v>
      </c>
      <c r="AC87">
        <v>3165</v>
      </c>
      <c r="AD87">
        <v>572</v>
      </c>
      <c r="AE87">
        <v>1416</v>
      </c>
      <c r="AF87">
        <v>2207</v>
      </c>
      <c r="AG87">
        <v>1360</v>
      </c>
      <c r="AH87">
        <v>1625</v>
      </c>
      <c r="AI87">
        <v>1406</v>
      </c>
    </row>
    <row r="88" spans="1:36" x14ac:dyDescent="0.3">
      <c r="A88" s="3">
        <v>203</v>
      </c>
      <c r="B88">
        <v>64</v>
      </c>
      <c r="C88">
        <v>110</v>
      </c>
      <c r="D88">
        <v>3713</v>
      </c>
      <c r="E88">
        <v>641</v>
      </c>
      <c r="F88">
        <v>3670</v>
      </c>
      <c r="G88">
        <v>1369</v>
      </c>
      <c r="H88">
        <v>1075</v>
      </c>
      <c r="I88">
        <v>869</v>
      </c>
      <c r="J88">
        <v>2402</v>
      </c>
      <c r="K88">
        <v>566</v>
      </c>
      <c r="L88">
        <v>1680</v>
      </c>
      <c r="M88">
        <v>1769</v>
      </c>
      <c r="N88">
        <v>235</v>
      </c>
      <c r="O88">
        <v>2117</v>
      </c>
      <c r="P88">
        <v>19</v>
      </c>
      <c r="Q88">
        <v>2469</v>
      </c>
      <c r="R88">
        <v>1918</v>
      </c>
      <c r="S88">
        <v>808</v>
      </c>
      <c r="T88">
        <v>2033</v>
      </c>
      <c r="U88">
        <v>1206</v>
      </c>
      <c r="V88">
        <v>2</v>
      </c>
      <c r="W88">
        <v>1881</v>
      </c>
      <c r="X88">
        <v>1159</v>
      </c>
      <c r="Y88">
        <v>1347</v>
      </c>
      <c r="Z88">
        <v>508</v>
      </c>
      <c r="AA88">
        <v>1654</v>
      </c>
      <c r="AB88">
        <v>1587</v>
      </c>
      <c r="AC88">
        <v>683</v>
      </c>
      <c r="AD88">
        <v>134</v>
      </c>
      <c r="AE88">
        <v>299</v>
      </c>
      <c r="AF88">
        <v>68</v>
      </c>
      <c r="AG88">
        <v>4979</v>
      </c>
      <c r="AH88">
        <v>934</v>
      </c>
      <c r="AI88">
        <v>2530</v>
      </c>
    </row>
    <row r="89" spans="1:36" x14ac:dyDescent="0.3">
      <c r="A89" s="3">
        <v>204</v>
      </c>
      <c r="B89">
        <v>0</v>
      </c>
      <c r="C89">
        <v>951</v>
      </c>
      <c r="D89">
        <v>619</v>
      </c>
      <c r="E89">
        <v>229</v>
      </c>
      <c r="F89">
        <v>558</v>
      </c>
      <c r="G89">
        <v>264</v>
      </c>
      <c r="H89">
        <v>1457</v>
      </c>
      <c r="I89">
        <v>225</v>
      </c>
      <c r="J89">
        <v>1222</v>
      </c>
      <c r="K89">
        <v>765</v>
      </c>
      <c r="L89">
        <v>208</v>
      </c>
      <c r="M89">
        <v>2493</v>
      </c>
      <c r="N89">
        <v>1335</v>
      </c>
      <c r="O89">
        <v>603</v>
      </c>
      <c r="P89">
        <v>821</v>
      </c>
      <c r="Q89">
        <v>3263</v>
      </c>
      <c r="R89">
        <v>274</v>
      </c>
      <c r="S89">
        <v>930</v>
      </c>
      <c r="T89">
        <v>3276</v>
      </c>
      <c r="U89">
        <v>4679</v>
      </c>
      <c r="V89">
        <v>80</v>
      </c>
      <c r="W89">
        <v>1716</v>
      </c>
      <c r="X89">
        <v>371</v>
      </c>
      <c r="Y89">
        <v>3384</v>
      </c>
      <c r="Z89">
        <v>552</v>
      </c>
      <c r="AA89">
        <v>2048</v>
      </c>
      <c r="AB89">
        <v>1104</v>
      </c>
      <c r="AC89">
        <v>707</v>
      </c>
      <c r="AD89">
        <v>1060</v>
      </c>
      <c r="AE89">
        <v>301</v>
      </c>
      <c r="AF89">
        <v>225</v>
      </c>
      <c r="AG89">
        <v>2472</v>
      </c>
      <c r="AH89">
        <v>967</v>
      </c>
      <c r="AI89">
        <v>2589</v>
      </c>
    </row>
    <row r="90" spans="1:36" x14ac:dyDescent="0.3">
      <c r="A90" s="3">
        <v>205</v>
      </c>
      <c r="B90">
        <v>2275</v>
      </c>
      <c r="C90">
        <v>70</v>
      </c>
      <c r="D90">
        <v>1366</v>
      </c>
      <c r="E90">
        <v>500</v>
      </c>
      <c r="F90">
        <v>3597</v>
      </c>
      <c r="G90">
        <v>1362</v>
      </c>
      <c r="H90">
        <v>2444</v>
      </c>
      <c r="I90">
        <v>432</v>
      </c>
      <c r="J90">
        <v>397</v>
      </c>
      <c r="K90">
        <v>637</v>
      </c>
      <c r="L90">
        <v>224</v>
      </c>
      <c r="M90">
        <v>214</v>
      </c>
      <c r="N90">
        <v>374</v>
      </c>
      <c r="O90">
        <v>331</v>
      </c>
      <c r="P90">
        <v>503</v>
      </c>
      <c r="Q90">
        <v>2383</v>
      </c>
      <c r="R90">
        <v>548</v>
      </c>
      <c r="S90">
        <v>726</v>
      </c>
      <c r="T90">
        <v>427</v>
      </c>
      <c r="U90">
        <v>670</v>
      </c>
      <c r="V90">
        <v>26</v>
      </c>
      <c r="W90">
        <v>1328</v>
      </c>
      <c r="X90">
        <v>721</v>
      </c>
      <c r="Y90">
        <v>621</v>
      </c>
      <c r="Z90">
        <v>199</v>
      </c>
      <c r="AA90">
        <v>1780</v>
      </c>
      <c r="AB90">
        <v>2216</v>
      </c>
      <c r="AC90">
        <v>2150</v>
      </c>
      <c r="AD90">
        <v>2733</v>
      </c>
      <c r="AE90">
        <v>176</v>
      </c>
      <c r="AF90">
        <v>309</v>
      </c>
      <c r="AG90">
        <v>755</v>
      </c>
      <c r="AH90">
        <v>571</v>
      </c>
      <c r="AI90">
        <v>1539</v>
      </c>
    </row>
    <row r="91" spans="1:36" x14ac:dyDescent="0.3">
      <c r="A91" s="3">
        <v>206</v>
      </c>
      <c r="B91">
        <v>4</v>
      </c>
      <c r="C91">
        <v>2758</v>
      </c>
      <c r="D91">
        <v>341</v>
      </c>
      <c r="E91">
        <v>101</v>
      </c>
      <c r="F91">
        <v>754</v>
      </c>
      <c r="G91">
        <v>901</v>
      </c>
      <c r="H91">
        <v>1848</v>
      </c>
      <c r="I91">
        <v>1938</v>
      </c>
      <c r="J91">
        <v>818</v>
      </c>
      <c r="K91">
        <v>699</v>
      </c>
      <c r="L91">
        <v>112</v>
      </c>
      <c r="M91">
        <v>67</v>
      </c>
      <c r="N91">
        <v>19</v>
      </c>
      <c r="O91">
        <v>1410</v>
      </c>
      <c r="P91">
        <v>15</v>
      </c>
      <c r="Q91">
        <v>2121</v>
      </c>
      <c r="R91">
        <v>2350</v>
      </c>
      <c r="S91">
        <v>188</v>
      </c>
      <c r="T91">
        <v>4285</v>
      </c>
      <c r="U91">
        <v>1370</v>
      </c>
      <c r="V91" s="11"/>
      <c r="W91">
        <v>1212</v>
      </c>
      <c r="X91">
        <v>3469</v>
      </c>
      <c r="Y91">
        <v>789</v>
      </c>
      <c r="Z91">
        <v>657</v>
      </c>
      <c r="AA91">
        <v>700</v>
      </c>
      <c r="AB91">
        <v>2210</v>
      </c>
      <c r="AC91">
        <v>2030</v>
      </c>
      <c r="AD91">
        <v>396</v>
      </c>
      <c r="AE91">
        <v>1464</v>
      </c>
      <c r="AF91">
        <v>733</v>
      </c>
      <c r="AG91">
        <v>987</v>
      </c>
      <c r="AH91">
        <v>1430</v>
      </c>
      <c r="AI91">
        <v>2444</v>
      </c>
      <c r="AJ91">
        <f>SUM(B91:AI91)/SUM(B120:AI120)</f>
        <v>1.7575110666517253E-2</v>
      </c>
    </row>
    <row r="92" spans="1:36" x14ac:dyDescent="0.3">
      <c r="A92" s="3">
        <v>207</v>
      </c>
      <c r="B92">
        <v>3378</v>
      </c>
      <c r="C92">
        <v>1649</v>
      </c>
      <c r="D92">
        <v>280</v>
      </c>
      <c r="E92">
        <v>578</v>
      </c>
      <c r="F92">
        <v>409</v>
      </c>
      <c r="G92">
        <v>1374</v>
      </c>
      <c r="H92">
        <v>2313</v>
      </c>
      <c r="I92">
        <v>122</v>
      </c>
      <c r="J92">
        <v>304</v>
      </c>
      <c r="K92">
        <v>847</v>
      </c>
      <c r="L92">
        <v>220</v>
      </c>
      <c r="M92">
        <v>784</v>
      </c>
      <c r="N92">
        <v>434</v>
      </c>
      <c r="O92">
        <v>1530</v>
      </c>
      <c r="P92">
        <v>203</v>
      </c>
      <c r="Q92">
        <v>2286</v>
      </c>
      <c r="R92">
        <v>569</v>
      </c>
      <c r="S92">
        <v>216</v>
      </c>
      <c r="T92">
        <v>2658</v>
      </c>
      <c r="U92">
        <v>430</v>
      </c>
      <c r="W92">
        <v>2733</v>
      </c>
      <c r="X92">
        <v>1148</v>
      </c>
      <c r="Y92">
        <v>788</v>
      </c>
      <c r="Z92">
        <v>3074</v>
      </c>
      <c r="AA92">
        <v>3110</v>
      </c>
      <c r="AB92">
        <v>3527</v>
      </c>
      <c r="AC92">
        <v>1292</v>
      </c>
      <c r="AD92">
        <v>461</v>
      </c>
      <c r="AE92">
        <v>1069</v>
      </c>
      <c r="AF92">
        <v>644</v>
      </c>
      <c r="AG92">
        <v>1588</v>
      </c>
      <c r="AH92">
        <v>2882</v>
      </c>
      <c r="AI92">
        <v>1058</v>
      </c>
    </row>
    <row r="93" spans="1:36" x14ac:dyDescent="0.3">
      <c r="A93" s="3">
        <v>208</v>
      </c>
      <c r="B93">
        <v>484</v>
      </c>
      <c r="C93">
        <v>1136</v>
      </c>
      <c r="D93">
        <v>1118</v>
      </c>
      <c r="E93">
        <v>300</v>
      </c>
      <c r="F93">
        <v>497</v>
      </c>
      <c r="G93">
        <v>1259</v>
      </c>
      <c r="H93">
        <v>2443</v>
      </c>
      <c r="I93">
        <v>554</v>
      </c>
      <c r="J93">
        <v>784</v>
      </c>
      <c r="K93">
        <v>973</v>
      </c>
      <c r="L93">
        <v>710</v>
      </c>
      <c r="M93">
        <v>1977</v>
      </c>
      <c r="N93">
        <v>1378</v>
      </c>
      <c r="O93">
        <v>1453</v>
      </c>
      <c r="P93">
        <v>97</v>
      </c>
      <c r="Q93">
        <v>730</v>
      </c>
      <c r="R93">
        <v>656</v>
      </c>
      <c r="S93">
        <v>1150</v>
      </c>
      <c r="T93">
        <v>202</v>
      </c>
      <c r="U93">
        <v>135</v>
      </c>
      <c r="W93">
        <v>291</v>
      </c>
      <c r="X93">
        <v>71</v>
      </c>
      <c r="Y93">
        <v>609</v>
      </c>
      <c r="Z93">
        <v>4320</v>
      </c>
      <c r="AA93">
        <v>1242</v>
      </c>
      <c r="AB93">
        <v>4920</v>
      </c>
      <c r="AC93">
        <v>2615</v>
      </c>
      <c r="AD93">
        <v>230</v>
      </c>
      <c r="AE93">
        <v>1444</v>
      </c>
      <c r="AF93">
        <v>569</v>
      </c>
      <c r="AG93">
        <v>1090</v>
      </c>
      <c r="AH93">
        <v>1912</v>
      </c>
      <c r="AI93">
        <v>2582</v>
      </c>
    </row>
    <row r="94" spans="1:36" x14ac:dyDescent="0.3">
      <c r="A94" s="3">
        <v>209</v>
      </c>
      <c r="B94">
        <v>219</v>
      </c>
      <c r="C94">
        <v>2267</v>
      </c>
      <c r="D94">
        <v>153</v>
      </c>
      <c r="F94">
        <v>628</v>
      </c>
      <c r="G94">
        <v>2463</v>
      </c>
      <c r="H94">
        <v>2784</v>
      </c>
      <c r="I94">
        <v>774</v>
      </c>
      <c r="J94">
        <v>629</v>
      </c>
      <c r="K94">
        <v>1177</v>
      </c>
      <c r="L94">
        <v>1084</v>
      </c>
      <c r="M94">
        <v>1514</v>
      </c>
      <c r="N94">
        <v>1626</v>
      </c>
      <c r="O94">
        <v>555</v>
      </c>
      <c r="P94">
        <v>69</v>
      </c>
      <c r="Q94">
        <v>1144</v>
      </c>
      <c r="R94">
        <v>944</v>
      </c>
      <c r="S94">
        <v>493</v>
      </c>
      <c r="T94">
        <v>919</v>
      </c>
      <c r="U94">
        <v>2043</v>
      </c>
      <c r="W94">
        <v>403</v>
      </c>
      <c r="X94">
        <v>488</v>
      </c>
      <c r="Y94">
        <v>367</v>
      </c>
      <c r="Z94">
        <v>2317</v>
      </c>
      <c r="AA94">
        <v>2223</v>
      </c>
      <c r="AB94">
        <v>347</v>
      </c>
      <c r="AC94">
        <v>1498</v>
      </c>
      <c r="AD94">
        <v>504</v>
      </c>
      <c r="AE94">
        <v>1626</v>
      </c>
      <c r="AF94">
        <v>1627</v>
      </c>
      <c r="AG94">
        <v>1549</v>
      </c>
      <c r="AH94">
        <v>1702</v>
      </c>
      <c r="AI94">
        <v>2040</v>
      </c>
    </row>
    <row r="95" spans="1:36" x14ac:dyDescent="0.3">
      <c r="A95" s="3">
        <v>210</v>
      </c>
      <c r="B95">
        <v>1113</v>
      </c>
      <c r="C95">
        <v>1654</v>
      </c>
      <c r="F95">
        <v>496</v>
      </c>
      <c r="G95">
        <v>544</v>
      </c>
      <c r="H95">
        <v>492</v>
      </c>
      <c r="I95">
        <v>806</v>
      </c>
      <c r="J95">
        <v>740</v>
      </c>
      <c r="K95">
        <v>639</v>
      </c>
      <c r="L95">
        <v>1005</v>
      </c>
      <c r="M95">
        <v>544</v>
      </c>
      <c r="N95">
        <v>1571</v>
      </c>
      <c r="O95">
        <v>723</v>
      </c>
      <c r="P95">
        <v>236</v>
      </c>
      <c r="Q95">
        <v>824</v>
      </c>
      <c r="R95">
        <v>90</v>
      </c>
      <c r="S95">
        <v>176</v>
      </c>
      <c r="T95">
        <v>2258</v>
      </c>
      <c r="U95">
        <v>511</v>
      </c>
      <c r="W95">
        <v>652</v>
      </c>
      <c r="X95">
        <v>518</v>
      </c>
      <c r="Y95">
        <v>1395</v>
      </c>
      <c r="Z95">
        <v>2265</v>
      </c>
      <c r="AA95">
        <v>1223</v>
      </c>
      <c r="AB95">
        <v>2404</v>
      </c>
      <c r="AC95">
        <v>1998</v>
      </c>
      <c r="AD95">
        <v>347</v>
      </c>
      <c r="AE95">
        <v>2043</v>
      </c>
      <c r="AF95">
        <v>490</v>
      </c>
      <c r="AG95">
        <v>1063</v>
      </c>
      <c r="AH95">
        <v>1474</v>
      </c>
      <c r="AI95">
        <v>873</v>
      </c>
    </row>
    <row r="96" spans="1:36" x14ac:dyDescent="0.3">
      <c r="A96" s="3">
        <v>211</v>
      </c>
      <c r="B96">
        <v>948</v>
      </c>
      <c r="C96">
        <v>473</v>
      </c>
      <c r="F96">
        <v>957</v>
      </c>
      <c r="G96">
        <v>198</v>
      </c>
      <c r="H96">
        <v>2398</v>
      </c>
      <c r="I96">
        <v>1847</v>
      </c>
      <c r="J96">
        <v>585</v>
      </c>
      <c r="K96">
        <v>859</v>
      </c>
      <c r="L96">
        <v>549</v>
      </c>
      <c r="M96">
        <v>219</v>
      </c>
      <c r="N96">
        <v>583</v>
      </c>
      <c r="O96">
        <v>1317</v>
      </c>
      <c r="P96">
        <v>1108</v>
      </c>
      <c r="Q96">
        <v>639</v>
      </c>
      <c r="R96">
        <v>782</v>
      </c>
      <c r="S96">
        <v>132</v>
      </c>
      <c r="T96">
        <v>2218</v>
      </c>
      <c r="U96">
        <v>2755</v>
      </c>
      <c r="W96">
        <v>263</v>
      </c>
      <c r="X96">
        <v>426</v>
      </c>
      <c r="Y96">
        <v>739</v>
      </c>
      <c r="Z96">
        <v>2548</v>
      </c>
      <c r="AA96">
        <v>443</v>
      </c>
      <c r="AB96">
        <v>41</v>
      </c>
      <c r="AC96">
        <v>2155</v>
      </c>
      <c r="AD96">
        <v>328</v>
      </c>
      <c r="AE96">
        <v>2542</v>
      </c>
      <c r="AF96">
        <v>642</v>
      </c>
      <c r="AG96">
        <v>807</v>
      </c>
      <c r="AH96">
        <v>1247</v>
      </c>
      <c r="AI96">
        <v>3361</v>
      </c>
    </row>
    <row r="97" spans="1:35" x14ac:dyDescent="0.3">
      <c r="A97" s="3">
        <v>212</v>
      </c>
      <c r="B97">
        <v>1074</v>
      </c>
      <c r="C97">
        <v>458</v>
      </c>
      <c r="F97">
        <v>309</v>
      </c>
      <c r="G97">
        <v>1155</v>
      </c>
      <c r="H97">
        <v>378</v>
      </c>
      <c r="I97">
        <v>1300</v>
      </c>
      <c r="J97">
        <v>77</v>
      </c>
      <c r="K97">
        <v>489</v>
      </c>
      <c r="L97">
        <v>652</v>
      </c>
      <c r="M97">
        <v>369</v>
      </c>
      <c r="N97">
        <v>1031</v>
      </c>
      <c r="O97">
        <v>337</v>
      </c>
      <c r="P97">
        <v>215</v>
      </c>
      <c r="Q97">
        <v>2992</v>
      </c>
      <c r="R97">
        <v>77</v>
      </c>
      <c r="S97">
        <v>457</v>
      </c>
      <c r="T97">
        <v>1151</v>
      </c>
      <c r="U97">
        <v>1242</v>
      </c>
      <c r="W97">
        <v>94</v>
      </c>
      <c r="X97">
        <v>36</v>
      </c>
      <c r="Y97">
        <v>513</v>
      </c>
      <c r="Z97">
        <v>643</v>
      </c>
      <c r="AA97">
        <v>1218</v>
      </c>
      <c r="AB97">
        <v>779</v>
      </c>
      <c r="AC97">
        <v>3914</v>
      </c>
      <c r="AD97">
        <v>308</v>
      </c>
      <c r="AE97">
        <v>1503</v>
      </c>
      <c r="AF97">
        <v>623</v>
      </c>
      <c r="AG97">
        <v>226</v>
      </c>
      <c r="AH97">
        <v>1162</v>
      </c>
      <c r="AI97">
        <v>789</v>
      </c>
    </row>
    <row r="98" spans="1:35" x14ac:dyDescent="0.3">
      <c r="A98" s="3">
        <v>213</v>
      </c>
      <c r="B98">
        <v>377</v>
      </c>
      <c r="C98">
        <v>737</v>
      </c>
      <c r="F98">
        <v>1859</v>
      </c>
      <c r="G98">
        <v>733</v>
      </c>
      <c r="H98">
        <v>892</v>
      </c>
      <c r="I98">
        <v>701</v>
      </c>
      <c r="J98">
        <v>881</v>
      </c>
      <c r="K98">
        <v>400</v>
      </c>
      <c r="L98">
        <v>907</v>
      </c>
      <c r="M98">
        <v>569</v>
      </c>
      <c r="N98">
        <v>170</v>
      </c>
      <c r="O98">
        <v>454</v>
      </c>
      <c r="P98">
        <v>517</v>
      </c>
      <c r="Q98">
        <v>2474</v>
      </c>
      <c r="R98">
        <v>92</v>
      </c>
      <c r="T98">
        <v>427</v>
      </c>
      <c r="U98">
        <v>1683</v>
      </c>
      <c r="W98">
        <v>459</v>
      </c>
      <c r="X98">
        <v>10</v>
      </c>
      <c r="Y98">
        <v>332</v>
      </c>
      <c r="Z98">
        <v>1152</v>
      </c>
      <c r="AA98">
        <v>327</v>
      </c>
      <c r="AB98">
        <v>1625</v>
      </c>
      <c r="AC98">
        <v>2725</v>
      </c>
      <c r="AD98">
        <v>288</v>
      </c>
      <c r="AE98">
        <v>1834</v>
      </c>
      <c r="AF98">
        <v>432</v>
      </c>
      <c r="AG98">
        <v>876</v>
      </c>
      <c r="AH98">
        <v>710</v>
      </c>
      <c r="AI98">
        <v>2822</v>
      </c>
    </row>
    <row r="99" spans="1:35" x14ac:dyDescent="0.3">
      <c r="A99" s="3">
        <v>214</v>
      </c>
      <c r="B99">
        <v>101</v>
      </c>
      <c r="C99">
        <v>1188</v>
      </c>
      <c r="F99">
        <v>1346</v>
      </c>
      <c r="G99">
        <v>1975</v>
      </c>
      <c r="H99">
        <v>429</v>
      </c>
      <c r="I99">
        <v>653</v>
      </c>
      <c r="J99">
        <v>310</v>
      </c>
      <c r="K99">
        <v>322</v>
      </c>
      <c r="L99">
        <v>673</v>
      </c>
      <c r="M99">
        <v>933</v>
      </c>
      <c r="N99">
        <v>70</v>
      </c>
      <c r="O99">
        <v>363</v>
      </c>
      <c r="P99">
        <v>351</v>
      </c>
      <c r="Q99">
        <v>955</v>
      </c>
      <c r="R99">
        <v>597</v>
      </c>
      <c r="T99">
        <v>2945</v>
      </c>
      <c r="U99">
        <v>845</v>
      </c>
      <c r="W99">
        <v>430</v>
      </c>
      <c r="X99">
        <v>135</v>
      </c>
      <c r="Y99">
        <v>518</v>
      </c>
      <c r="Z99">
        <v>591</v>
      </c>
      <c r="AA99">
        <v>250</v>
      </c>
      <c r="AB99">
        <v>1680</v>
      </c>
      <c r="AC99">
        <v>1235</v>
      </c>
      <c r="AD99">
        <v>248</v>
      </c>
      <c r="AE99">
        <v>1727</v>
      </c>
      <c r="AF99">
        <v>48</v>
      </c>
      <c r="AG99">
        <v>1695</v>
      </c>
      <c r="AH99">
        <v>1136</v>
      </c>
      <c r="AI99">
        <v>1568</v>
      </c>
    </row>
    <row r="100" spans="1:35" x14ac:dyDescent="0.3">
      <c r="A100" s="3">
        <v>215</v>
      </c>
      <c r="B100">
        <v>1319</v>
      </c>
      <c r="C100">
        <v>1013</v>
      </c>
      <c r="F100">
        <v>908</v>
      </c>
      <c r="G100">
        <v>2139</v>
      </c>
      <c r="H100">
        <v>944</v>
      </c>
      <c r="I100">
        <v>229</v>
      </c>
      <c r="J100">
        <v>1713</v>
      </c>
      <c r="K100">
        <v>409</v>
      </c>
      <c r="L100">
        <v>1177</v>
      </c>
      <c r="M100">
        <v>3135</v>
      </c>
      <c r="N100">
        <v>465</v>
      </c>
      <c r="O100">
        <v>855</v>
      </c>
      <c r="P100">
        <v>798</v>
      </c>
      <c r="Q100">
        <v>1759</v>
      </c>
      <c r="R100">
        <v>553</v>
      </c>
      <c r="T100">
        <v>1354</v>
      </c>
      <c r="U100">
        <v>436</v>
      </c>
      <c r="W100">
        <v>1124</v>
      </c>
      <c r="X100">
        <v>135</v>
      </c>
      <c r="Y100">
        <v>229</v>
      </c>
      <c r="Z100">
        <v>1691</v>
      </c>
      <c r="AA100">
        <v>181</v>
      </c>
      <c r="AB100">
        <v>1563</v>
      </c>
      <c r="AC100">
        <v>1616</v>
      </c>
      <c r="AD100">
        <v>239</v>
      </c>
      <c r="AE100">
        <v>1516</v>
      </c>
      <c r="AF100">
        <v>113</v>
      </c>
      <c r="AG100">
        <v>321</v>
      </c>
      <c r="AH100">
        <v>744</v>
      </c>
      <c r="AI100">
        <v>1122</v>
      </c>
    </row>
    <row r="101" spans="1:35" x14ac:dyDescent="0.3">
      <c r="A101" s="3">
        <v>216</v>
      </c>
      <c r="B101">
        <v>57</v>
      </c>
      <c r="C101">
        <v>1045</v>
      </c>
      <c r="F101">
        <v>816</v>
      </c>
      <c r="G101">
        <v>1399</v>
      </c>
      <c r="H101">
        <v>882</v>
      </c>
      <c r="J101">
        <v>991</v>
      </c>
      <c r="K101">
        <v>331</v>
      </c>
      <c r="L101">
        <v>285</v>
      </c>
      <c r="M101">
        <v>935</v>
      </c>
      <c r="N101">
        <v>276</v>
      </c>
      <c r="O101">
        <v>507</v>
      </c>
      <c r="P101">
        <v>868</v>
      </c>
      <c r="Q101">
        <v>1222</v>
      </c>
      <c r="R101">
        <v>209</v>
      </c>
      <c r="T101">
        <v>531</v>
      </c>
      <c r="U101">
        <v>656</v>
      </c>
      <c r="W101">
        <v>908</v>
      </c>
      <c r="X101">
        <v>150</v>
      </c>
      <c r="Y101">
        <v>1913</v>
      </c>
      <c r="Z101">
        <v>871</v>
      </c>
      <c r="AA101">
        <v>87</v>
      </c>
      <c r="AB101">
        <v>681</v>
      </c>
      <c r="AC101">
        <v>661</v>
      </c>
      <c r="AD101">
        <v>517</v>
      </c>
      <c r="AE101">
        <v>1679</v>
      </c>
      <c r="AF101">
        <v>125</v>
      </c>
      <c r="AG101">
        <v>1372</v>
      </c>
      <c r="AH101">
        <v>565</v>
      </c>
      <c r="AI101">
        <v>1681</v>
      </c>
    </row>
    <row r="102" spans="1:35" x14ac:dyDescent="0.3">
      <c r="A102" s="3">
        <v>217</v>
      </c>
      <c r="B102">
        <v>445</v>
      </c>
      <c r="C102">
        <v>250</v>
      </c>
      <c r="F102">
        <v>441</v>
      </c>
      <c r="G102">
        <v>687</v>
      </c>
      <c r="J102">
        <v>708</v>
      </c>
      <c r="K102">
        <v>152</v>
      </c>
      <c r="L102">
        <v>464</v>
      </c>
      <c r="M102">
        <v>459</v>
      </c>
      <c r="N102">
        <v>495</v>
      </c>
      <c r="O102">
        <v>615</v>
      </c>
      <c r="P102">
        <v>828</v>
      </c>
      <c r="Q102">
        <v>651</v>
      </c>
      <c r="R102">
        <v>112</v>
      </c>
      <c r="T102">
        <v>749</v>
      </c>
      <c r="U102">
        <v>1428</v>
      </c>
      <c r="W102">
        <v>594</v>
      </c>
      <c r="Y102">
        <v>265</v>
      </c>
      <c r="Z102">
        <v>2393</v>
      </c>
      <c r="AB102">
        <v>1042</v>
      </c>
      <c r="AC102">
        <v>255</v>
      </c>
      <c r="AD102">
        <v>464</v>
      </c>
      <c r="AE102">
        <v>582</v>
      </c>
      <c r="AF102">
        <v>213</v>
      </c>
      <c r="AG102">
        <v>1461</v>
      </c>
      <c r="AH102">
        <v>386</v>
      </c>
      <c r="AI102">
        <v>1250</v>
      </c>
    </row>
    <row r="103" spans="1:35" x14ac:dyDescent="0.3">
      <c r="A103" s="3">
        <v>218</v>
      </c>
      <c r="B103">
        <v>323</v>
      </c>
      <c r="C103">
        <v>562</v>
      </c>
      <c r="F103">
        <v>217</v>
      </c>
      <c r="J103">
        <v>905</v>
      </c>
      <c r="K103">
        <v>628</v>
      </c>
      <c r="M103">
        <v>493</v>
      </c>
      <c r="N103">
        <v>376</v>
      </c>
      <c r="O103">
        <v>117</v>
      </c>
      <c r="P103">
        <v>127</v>
      </c>
      <c r="Q103">
        <v>530</v>
      </c>
      <c r="R103">
        <v>590</v>
      </c>
      <c r="T103">
        <v>1185</v>
      </c>
      <c r="U103">
        <v>2122</v>
      </c>
      <c r="Y103">
        <v>1095</v>
      </c>
      <c r="Z103">
        <v>702</v>
      </c>
      <c r="AC103">
        <v>503</v>
      </c>
      <c r="AD103">
        <v>1195</v>
      </c>
      <c r="AE103">
        <v>1239</v>
      </c>
      <c r="AF103">
        <v>436</v>
      </c>
      <c r="AG103">
        <v>2356</v>
      </c>
      <c r="AH103">
        <v>193</v>
      </c>
      <c r="AI103">
        <v>2180</v>
      </c>
    </row>
    <row r="104" spans="1:35" x14ac:dyDescent="0.3">
      <c r="A104" s="3">
        <v>219</v>
      </c>
      <c r="B104">
        <v>323</v>
      </c>
      <c r="C104">
        <v>195</v>
      </c>
      <c r="J104">
        <v>1831</v>
      </c>
      <c r="K104">
        <v>510</v>
      </c>
      <c r="N104">
        <v>265</v>
      </c>
      <c r="O104">
        <v>27</v>
      </c>
      <c r="P104">
        <v>31</v>
      </c>
      <c r="Q104">
        <v>807</v>
      </c>
      <c r="R104">
        <v>101</v>
      </c>
      <c r="T104">
        <v>1458</v>
      </c>
      <c r="U104">
        <v>1049</v>
      </c>
      <c r="Y104">
        <v>136</v>
      </c>
      <c r="Z104">
        <v>164</v>
      </c>
      <c r="AC104">
        <v>59</v>
      </c>
      <c r="AD104">
        <v>1708</v>
      </c>
      <c r="AE104">
        <v>2037</v>
      </c>
      <c r="AF104">
        <v>54</v>
      </c>
      <c r="AG104">
        <v>2901</v>
      </c>
      <c r="AH104">
        <v>220</v>
      </c>
      <c r="AI104">
        <v>2470</v>
      </c>
    </row>
    <row r="105" spans="1:35" x14ac:dyDescent="0.3">
      <c r="A105" s="3">
        <v>220</v>
      </c>
      <c r="B105">
        <v>7</v>
      </c>
      <c r="C105">
        <v>313</v>
      </c>
      <c r="N105">
        <v>361</v>
      </c>
      <c r="O105">
        <v>60</v>
      </c>
      <c r="Q105">
        <v>867</v>
      </c>
      <c r="R105">
        <v>98</v>
      </c>
      <c r="T105">
        <v>1892</v>
      </c>
      <c r="U105">
        <v>1018</v>
      </c>
      <c r="Z105">
        <v>159</v>
      </c>
      <c r="AD105">
        <v>717</v>
      </c>
      <c r="AE105">
        <v>310</v>
      </c>
      <c r="AG105">
        <v>1500</v>
      </c>
      <c r="AH105">
        <v>61</v>
      </c>
      <c r="AI105">
        <v>1603</v>
      </c>
    </row>
    <row r="106" spans="1:35" x14ac:dyDescent="0.3">
      <c r="A106" s="3">
        <v>221</v>
      </c>
      <c r="B106">
        <v>76</v>
      </c>
      <c r="C106">
        <v>255</v>
      </c>
      <c r="N106">
        <v>193</v>
      </c>
      <c r="R106">
        <v>182</v>
      </c>
      <c r="T106">
        <v>492</v>
      </c>
      <c r="U106">
        <v>885</v>
      </c>
      <c r="AD106">
        <v>433</v>
      </c>
      <c r="AE106">
        <v>964</v>
      </c>
      <c r="AG106">
        <v>1206</v>
      </c>
      <c r="AI106">
        <v>2353</v>
      </c>
    </row>
    <row r="107" spans="1:35" x14ac:dyDescent="0.3">
      <c r="A107" s="3">
        <v>222</v>
      </c>
      <c r="B107">
        <v>15</v>
      </c>
      <c r="C107">
        <v>242</v>
      </c>
      <c r="T107">
        <v>410</v>
      </c>
      <c r="U107">
        <v>1017</v>
      </c>
      <c r="AD107">
        <v>393</v>
      </c>
      <c r="AE107">
        <v>848</v>
      </c>
      <c r="AG107">
        <v>576</v>
      </c>
    </row>
    <row r="108" spans="1:35" x14ac:dyDescent="0.3">
      <c r="A108" s="3">
        <v>223</v>
      </c>
      <c r="B108">
        <v>44</v>
      </c>
      <c r="C108">
        <v>213</v>
      </c>
      <c r="T108">
        <v>505</v>
      </c>
      <c r="U108">
        <v>330</v>
      </c>
      <c r="AD108">
        <v>459</v>
      </c>
    </row>
    <row r="109" spans="1:35" x14ac:dyDescent="0.3">
      <c r="A109" s="3">
        <v>224</v>
      </c>
      <c r="B109">
        <v>64</v>
      </c>
      <c r="C109">
        <v>67</v>
      </c>
      <c r="T109">
        <v>2114</v>
      </c>
      <c r="U109">
        <v>1032</v>
      </c>
      <c r="AD109">
        <v>272</v>
      </c>
    </row>
    <row r="110" spans="1:35" x14ac:dyDescent="0.3">
      <c r="A110" s="3">
        <v>225</v>
      </c>
      <c r="B110">
        <v>81</v>
      </c>
      <c r="C110">
        <v>332</v>
      </c>
      <c r="T110">
        <v>3801</v>
      </c>
      <c r="U110">
        <v>256</v>
      </c>
    </row>
    <row r="111" spans="1:35" x14ac:dyDescent="0.3">
      <c r="A111" s="3">
        <v>226</v>
      </c>
      <c r="B111">
        <v>56</v>
      </c>
      <c r="C111">
        <v>174</v>
      </c>
      <c r="T111">
        <v>614</v>
      </c>
    </row>
    <row r="112" spans="1:35" x14ac:dyDescent="0.3">
      <c r="A112" s="3">
        <v>227</v>
      </c>
      <c r="B112">
        <v>123</v>
      </c>
      <c r="C112">
        <v>227</v>
      </c>
      <c r="T112">
        <v>678</v>
      </c>
    </row>
    <row r="113" spans="1:35" x14ac:dyDescent="0.3">
      <c r="A113" s="3">
        <v>228</v>
      </c>
      <c r="B113">
        <v>98</v>
      </c>
      <c r="C113">
        <v>234</v>
      </c>
    </row>
    <row r="114" spans="1:35" x14ac:dyDescent="0.3">
      <c r="A114" s="3">
        <v>229</v>
      </c>
      <c r="B114">
        <v>50</v>
      </c>
      <c r="C114">
        <v>11</v>
      </c>
    </row>
    <row r="115" spans="1:35" x14ac:dyDescent="0.3">
      <c r="A115" s="3">
        <v>230</v>
      </c>
      <c r="B115">
        <v>38</v>
      </c>
    </row>
    <row r="116" spans="1:35" x14ac:dyDescent="0.3">
      <c r="A116" s="3">
        <v>231</v>
      </c>
      <c r="B116">
        <v>30</v>
      </c>
    </row>
    <row r="117" spans="1:35" x14ac:dyDescent="0.3">
      <c r="A117" s="3">
        <v>232</v>
      </c>
      <c r="B117">
        <v>19</v>
      </c>
    </row>
    <row r="118" spans="1:35" x14ac:dyDescent="0.3">
      <c r="A118" s="3">
        <v>233</v>
      </c>
      <c r="B118">
        <v>28</v>
      </c>
    </row>
    <row r="119" spans="1:35" x14ac:dyDescent="0.3">
      <c r="A119" s="3">
        <v>234</v>
      </c>
      <c r="B119">
        <v>9</v>
      </c>
    </row>
    <row r="120" spans="1:35" x14ac:dyDescent="0.3">
      <c r="A120" t="s">
        <v>2</v>
      </c>
      <c r="B120">
        <f t="shared" ref="B120:AI120" si="0">SUM(B6:B119)</f>
        <v>46404</v>
      </c>
      <c r="C120">
        <f t="shared" si="0"/>
        <v>84383</v>
      </c>
      <c r="D120">
        <f t="shared" si="0"/>
        <v>61375</v>
      </c>
      <c r="E120">
        <f t="shared" si="0"/>
        <v>69737</v>
      </c>
      <c r="F120">
        <f t="shared" si="0"/>
        <v>76733</v>
      </c>
      <c r="G120">
        <f t="shared" si="0"/>
        <v>62110</v>
      </c>
      <c r="H120">
        <f t="shared" si="0"/>
        <v>72474</v>
      </c>
      <c r="I120">
        <f t="shared" si="0"/>
        <v>42463</v>
      </c>
      <c r="J120">
        <f t="shared" si="0"/>
        <v>61269</v>
      </c>
      <c r="K120">
        <f t="shared" si="0"/>
        <v>42050</v>
      </c>
      <c r="L120">
        <f t="shared" si="0"/>
        <v>50546</v>
      </c>
      <c r="M120">
        <f t="shared" si="0"/>
        <v>61544</v>
      </c>
      <c r="N120">
        <f t="shared" si="0"/>
        <v>41554</v>
      </c>
      <c r="O120">
        <f t="shared" si="0"/>
        <v>60334</v>
      </c>
      <c r="P120">
        <f t="shared" si="0"/>
        <v>68773</v>
      </c>
      <c r="Q120">
        <f t="shared" si="0"/>
        <v>89720</v>
      </c>
      <c r="R120">
        <f t="shared" si="0"/>
        <v>43278</v>
      </c>
      <c r="S120">
        <f t="shared" si="0"/>
        <v>66476</v>
      </c>
      <c r="T120">
        <f t="shared" si="0"/>
        <v>90351</v>
      </c>
      <c r="U120">
        <f t="shared" si="0"/>
        <v>61799</v>
      </c>
      <c r="V120">
        <f t="shared" si="0"/>
        <v>22520</v>
      </c>
      <c r="W120">
        <f t="shared" si="0"/>
        <v>83959</v>
      </c>
      <c r="X120">
        <f t="shared" si="0"/>
        <v>53499</v>
      </c>
      <c r="Y120">
        <f t="shared" si="0"/>
        <v>89943</v>
      </c>
      <c r="Z120">
        <f t="shared" si="0"/>
        <v>62459</v>
      </c>
      <c r="AA120">
        <f t="shared" si="0"/>
        <v>118767</v>
      </c>
      <c r="AB120">
        <f t="shared" si="0"/>
        <v>102994</v>
      </c>
      <c r="AC120">
        <f t="shared" si="0"/>
        <v>95093</v>
      </c>
      <c r="AD120">
        <f t="shared" si="0"/>
        <v>56738</v>
      </c>
      <c r="AE120">
        <f t="shared" si="0"/>
        <v>91092</v>
      </c>
      <c r="AF120">
        <f t="shared" si="0"/>
        <v>26704</v>
      </c>
      <c r="AG120">
        <f t="shared" si="0"/>
        <v>72530</v>
      </c>
      <c r="AH120">
        <f t="shared" si="0"/>
        <v>63343</v>
      </c>
      <c r="AI120">
        <f t="shared" si="0"/>
        <v>118209</v>
      </c>
    </row>
    <row r="123" spans="1:35" x14ac:dyDescent="0.3">
      <c r="A123" t="s">
        <v>5</v>
      </c>
    </row>
    <row r="124" spans="1:35" x14ac:dyDescent="0.3">
      <c r="A124" t="s">
        <v>0</v>
      </c>
      <c r="B124">
        <v>1988</v>
      </c>
      <c r="C124">
        <v>1989</v>
      </c>
      <c r="D124">
        <v>1990</v>
      </c>
      <c r="E124">
        <v>1991</v>
      </c>
      <c r="F124">
        <v>1992</v>
      </c>
      <c r="G124">
        <v>1993</v>
      </c>
      <c r="H124">
        <v>1994</v>
      </c>
      <c r="I124">
        <v>1995</v>
      </c>
      <c r="J124">
        <v>1996</v>
      </c>
      <c r="K124">
        <v>1997</v>
      </c>
      <c r="L124">
        <v>1998</v>
      </c>
      <c r="M124">
        <v>1999</v>
      </c>
      <c r="N124">
        <v>2000</v>
      </c>
      <c r="O124">
        <v>2001</v>
      </c>
      <c r="P124">
        <v>2002</v>
      </c>
      <c r="Q124">
        <v>2003</v>
      </c>
      <c r="R124">
        <v>2004</v>
      </c>
      <c r="S124">
        <v>2005</v>
      </c>
      <c r="T124">
        <v>2006</v>
      </c>
      <c r="U124">
        <v>2007</v>
      </c>
      <c r="V124">
        <v>2008</v>
      </c>
      <c r="W124">
        <v>2009</v>
      </c>
      <c r="X124">
        <v>2010</v>
      </c>
      <c r="Y124">
        <v>2011</v>
      </c>
      <c r="Z124">
        <v>2012</v>
      </c>
      <c r="AA124">
        <v>2013</v>
      </c>
      <c r="AB124">
        <v>2014</v>
      </c>
      <c r="AC124">
        <v>2015</v>
      </c>
      <c r="AD124">
        <v>2016</v>
      </c>
      <c r="AE124">
        <v>2017</v>
      </c>
      <c r="AF124">
        <v>2018</v>
      </c>
      <c r="AG124">
        <v>2019</v>
      </c>
      <c r="AH124">
        <v>2020</v>
      </c>
      <c r="AI124">
        <v>2021</v>
      </c>
    </row>
    <row r="125" spans="1:35" x14ac:dyDescent="0.3">
      <c r="A125" s="3">
        <v>121</v>
      </c>
      <c r="B125" t="str">
        <f>IF(B6="","",SUM(B$6:B6))</f>
        <v/>
      </c>
      <c r="C125" t="str">
        <f>IF(C6="","",SUM(C$6:C6))</f>
        <v/>
      </c>
      <c r="D125" t="str">
        <f>IF(D6="","",SUM(D$6:D6))</f>
        <v/>
      </c>
      <c r="E125" t="str">
        <f>IF(E6="","",SUM(E$6:E6))</f>
        <v/>
      </c>
      <c r="F125" t="str">
        <f>IF(F6="","",SUM(F$6:F6))</f>
        <v/>
      </c>
      <c r="G125" t="str">
        <f>IF(G6="","",SUM(G$6:G6))</f>
        <v/>
      </c>
      <c r="H125" t="str">
        <f>IF(H6="","",SUM(H$6:H6))</f>
        <v/>
      </c>
      <c r="I125" t="str">
        <f>IF(I6="","",SUM(I$6:I6))</f>
        <v/>
      </c>
      <c r="J125" t="str">
        <f>IF(J6="","",SUM(J$6:J6))</f>
        <v/>
      </c>
      <c r="K125" t="str">
        <f>IF(K6="","",SUM(K$6:K6))</f>
        <v/>
      </c>
      <c r="L125" t="str">
        <f>IF(L6="","",SUM(L$6:L6))</f>
        <v/>
      </c>
      <c r="M125" t="str">
        <f>IF(M6="","",SUM(M$6:M6))</f>
        <v/>
      </c>
      <c r="N125" t="str">
        <f>IF(N6="","",SUM(N$6:N6))</f>
        <v/>
      </c>
      <c r="O125" t="str">
        <f>IF(O6="","",SUM(O$6:O6))</f>
        <v/>
      </c>
      <c r="P125" t="str">
        <f>IF(P6="","",SUM(P$6:P6))</f>
        <v/>
      </c>
      <c r="Q125">
        <f>IF(Q6="","",SUM(Q$6:Q6))</f>
        <v>0</v>
      </c>
      <c r="R125" t="str">
        <f>IF(R6="","",SUM(R$6:R6))</f>
        <v/>
      </c>
      <c r="S125">
        <f>IF(S6="","",SUM(S$6:S6))</f>
        <v>0</v>
      </c>
      <c r="T125">
        <f>IF(T6="","",SUM(T$6:T6))</f>
        <v>0</v>
      </c>
      <c r="U125" t="str">
        <f>IF(U6="","",SUM(U$6:U6))</f>
        <v/>
      </c>
      <c r="V125" t="str">
        <f>IF(V6="","",SUM(V$6:V6))</f>
        <v/>
      </c>
      <c r="W125" t="str">
        <f>IF(W6="","",SUM(W$6:W6))</f>
        <v/>
      </c>
      <c r="X125" t="str">
        <f>IF(X6="","",SUM(X$6:X6))</f>
        <v/>
      </c>
      <c r="Y125" t="str">
        <f>IF(Y6="","",SUM(Y$6:Y6))</f>
        <v/>
      </c>
      <c r="Z125" t="str">
        <f>IF(Z6="","",SUM(Z$6:Z6))</f>
        <v/>
      </c>
      <c r="AA125" t="str">
        <f>IF(AA6="","",SUM(AA$6:AA6))</f>
        <v/>
      </c>
      <c r="AB125" t="str">
        <f>IF(AB6="","",SUM(AB$6:AB6))</f>
        <v/>
      </c>
      <c r="AC125" t="str">
        <f>IF(AC6="","",SUM(AC$6:AC6))</f>
        <v/>
      </c>
      <c r="AD125" t="str">
        <f>IF(AD6="","",SUM(AD$6:AD6))</f>
        <v/>
      </c>
      <c r="AE125" t="str">
        <f>IF(AE6="","",SUM(AE$6:AE6))</f>
        <v/>
      </c>
      <c r="AF125" t="str">
        <f>IF(AF6="","",SUM(AF$6:AF6))</f>
        <v/>
      </c>
      <c r="AG125" t="str">
        <f>IF(AG6="","",SUM(AG$6:AG6))</f>
        <v/>
      </c>
      <c r="AH125" t="str">
        <f>IF(AH6="","",SUM(AH$6:AH6))</f>
        <v/>
      </c>
      <c r="AI125" t="str">
        <f>IF(AI6="","",SUM(AI$6:AI6))</f>
        <v/>
      </c>
    </row>
    <row r="126" spans="1:35" x14ac:dyDescent="0.3">
      <c r="A126" s="3">
        <v>122</v>
      </c>
      <c r="B126" t="str">
        <f>IF(B7="","",SUM(B$6:B7))</f>
        <v/>
      </c>
      <c r="C126" t="str">
        <f>IF(C7="","",SUM(C$6:C7))</f>
        <v/>
      </c>
      <c r="D126" t="str">
        <f>IF(D7="","",SUM(D$6:D7))</f>
        <v/>
      </c>
      <c r="E126" t="str">
        <f>IF(E7="","",SUM(E$6:E7))</f>
        <v/>
      </c>
      <c r="F126">
        <f>IF(F7="","",SUM(F$6:F7))</f>
        <v>0</v>
      </c>
      <c r="G126" t="str">
        <f>IF(G7="","",SUM(G$6:G7))</f>
        <v/>
      </c>
      <c r="H126" t="str">
        <f>IF(H7="","",SUM(H$6:H7))</f>
        <v/>
      </c>
      <c r="I126" t="str">
        <f>IF(I7="","",SUM(I$6:I7))</f>
        <v/>
      </c>
      <c r="J126" t="str">
        <f>IF(J7="","",SUM(J$6:J7))</f>
        <v/>
      </c>
      <c r="K126" t="str">
        <f>IF(K7="","",SUM(K$6:K7))</f>
        <v/>
      </c>
      <c r="L126" t="str">
        <f>IF(L7="","",SUM(L$6:L7))</f>
        <v/>
      </c>
      <c r="M126" t="str">
        <f>IF(M7="","",SUM(M$6:M7))</f>
        <v/>
      </c>
      <c r="N126" t="str">
        <f>IF(N7="","",SUM(N$6:N7))</f>
        <v/>
      </c>
      <c r="O126">
        <f>IF(O7="","",SUM(O$6:O7))</f>
        <v>0</v>
      </c>
      <c r="P126" t="str">
        <f>IF(P7="","",SUM(P$6:P7))</f>
        <v/>
      </c>
      <c r="Q126">
        <f>IF(Q7="","",SUM(Q$6:Q7))</f>
        <v>0</v>
      </c>
      <c r="R126" t="str">
        <f>IF(R7="","",SUM(R$6:R7))</f>
        <v/>
      </c>
      <c r="S126">
        <f>IF(S7="","",SUM(S$6:S7))</f>
        <v>0</v>
      </c>
      <c r="T126">
        <f>IF(T7="","",SUM(T$6:T7))</f>
        <v>0</v>
      </c>
      <c r="U126" t="str">
        <f>IF(U7="","",SUM(U$6:U7))</f>
        <v/>
      </c>
      <c r="V126" t="str">
        <f>IF(V7="","",SUM(V$6:V7))</f>
        <v/>
      </c>
      <c r="W126" t="str">
        <f>IF(W7="","",SUM(W$6:W7))</f>
        <v/>
      </c>
      <c r="X126" t="str">
        <f>IF(X7="","",SUM(X$6:X7))</f>
        <v/>
      </c>
      <c r="Y126" t="str">
        <f>IF(Y7="","",SUM(Y$6:Y7))</f>
        <v/>
      </c>
      <c r="Z126" t="str">
        <f>IF(Z7="","",SUM(Z$6:Z7))</f>
        <v/>
      </c>
      <c r="AA126" t="str">
        <f>IF(AA7="","",SUM(AA$6:AA7))</f>
        <v/>
      </c>
      <c r="AB126" t="str">
        <f>IF(AB7="","",SUM(AB$6:AB7))</f>
        <v/>
      </c>
      <c r="AC126" t="str">
        <f>IF(AC7="","",SUM(AC$6:AC7))</f>
        <v/>
      </c>
      <c r="AD126">
        <f>IF(AD7="","",SUM(AD$6:AD7))</f>
        <v>0</v>
      </c>
      <c r="AE126" t="str">
        <f>IF(AE7="","",SUM(AE$6:AE7))</f>
        <v/>
      </c>
      <c r="AF126" t="str">
        <f>IF(AF7="","",SUM(AF$6:AF7))</f>
        <v/>
      </c>
      <c r="AG126" t="str">
        <f>IF(AG7="","",SUM(AG$6:AG7))</f>
        <v/>
      </c>
      <c r="AH126" t="str">
        <f>IF(AH7="","",SUM(AH$6:AH7))</f>
        <v/>
      </c>
      <c r="AI126">
        <f>IF(AI7="","",SUM(AI$6:AI7))</f>
        <v>0</v>
      </c>
    </row>
    <row r="127" spans="1:35" x14ac:dyDescent="0.3">
      <c r="A127" s="3">
        <v>123</v>
      </c>
      <c r="B127" t="str">
        <f>IF(B8="","",SUM(B$6:B8))</f>
        <v/>
      </c>
      <c r="C127" t="str">
        <f>IF(C8="","",SUM(C$6:C8))</f>
        <v/>
      </c>
      <c r="D127" t="str">
        <f>IF(D8="","",SUM(D$6:D8))</f>
        <v/>
      </c>
      <c r="E127" t="str">
        <f>IF(E8="","",SUM(E$6:E8))</f>
        <v/>
      </c>
      <c r="F127">
        <f>IF(F8="","",SUM(F$6:F8))</f>
        <v>0</v>
      </c>
      <c r="G127" t="str">
        <f>IF(G8="","",SUM(G$6:G8))</f>
        <v/>
      </c>
      <c r="H127" t="str">
        <f>IF(H8="","",SUM(H$6:H8))</f>
        <v/>
      </c>
      <c r="I127" t="str">
        <f>IF(I8="","",SUM(I$6:I8))</f>
        <v/>
      </c>
      <c r="J127" t="str">
        <f>IF(J8="","",SUM(J$6:J8))</f>
        <v/>
      </c>
      <c r="K127" t="str">
        <f>IF(K8="","",SUM(K$6:K8))</f>
        <v/>
      </c>
      <c r="L127" t="str">
        <f>IF(L8="","",SUM(L$6:L8))</f>
        <v/>
      </c>
      <c r="M127" t="str">
        <f>IF(M8="","",SUM(M$6:M8))</f>
        <v/>
      </c>
      <c r="N127" t="str">
        <f>IF(N8="","",SUM(N$6:N8))</f>
        <v/>
      </c>
      <c r="O127">
        <f>IF(O8="","",SUM(O$6:O8))</f>
        <v>0</v>
      </c>
      <c r="P127" t="str">
        <f>IF(P8="","",SUM(P$6:P8))</f>
        <v/>
      </c>
      <c r="Q127">
        <f>IF(Q8="","",SUM(Q$6:Q8))</f>
        <v>0</v>
      </c>
      <c r="R127" t="str">
        <f>IF(R8="","",SUM(R$6:R8))</f>
        <v/>
      </c>
      <c r="S127">
        <f>IF(S8="","",SUM(S$6:S8))</f>
        <v>0</v>
      </c>
      <c r="T127">
        <f>IF(T8="","",SUM(T$6:T8))</f>
        <v>0</v>
      </c>
      <c r="U127" t="str">
        <f>IF(U8="","",SUM(U$6:U8))</f>
        <v/>
      </c>
      <c r="V127" t="str">
        <f>IF(V8="","",SUM(V$6:V8))</f>
        <v/>
      </c>
      <c r="W127" t="str">
        <f>IF(W8="","",SUM(W$6:W8))</f>
        <v/>
      </c>
      <c r="X127" t="str">
        <f>IF(X8="","",SUM(X$6:X8))</f>
        <v/>
      </c>
      <c r="Y127" t="str">
        <f>IF(Y8="","",SUM(Y$6:Y8))</f>
        <v/>
      </c>
      <c r="Z127" t="str">
        <f>IF(Z8="","",SUM(Z$6:Z8))</f>
        <v/>
      </c>
      <c r="AA127" t="str">
        <f>IF(AA8="","",SUM(AA$6:AA8))</f>
        <v/>
      </c>
      <c r="AB127" t="str">
        <f>IF(AB8="","",SUM(AB$6:AB8))</f>
        <v/>
      </c>
      <c r="AC127" t="str">
        <f>IF(AC8="","",SUM(AC$6:AC8))</f>
        <v/>
      </c>
      <c r="AD127">
        <f>IF(AD8="","",SUM(AD$6:AD8))</f>
        <v>0</v>
      </c>
      <c r="AE127" t="str">
        <f>IF(AE8="","",SUM(AE$6:AE8))</f>
        <v/>
      </c>
      <c r="AF127" t="str">
        <f>IF(AF8="","",SUM(AF$6:AF8))</f>
        <v/>
      </c>
      <c r="AG127" t="str">
        <f>IF(AG8="","",SUM(AG$6:AG8))</f>
        <v/>
      </c>
      <c r="AH127" t="str">
        <f>IF(AH8="","",SUM(AH$6:AH8))</f>
        <v/>
      </c>
      <c r="AI127">
        <f>IF(AI8="","",SUM(AI$6:AI8))</f>
        <v>0</v>
      </c>
    </row>
    <row r="128" spans="1:35" x14ac:dyDescent="0.3">
      <c r="A128" s="3">
        <v>124</v>
      </c>
      <c r="B128" t="str">
        <f>IF(B9="","",SUM(B$6:B9))</f>
        <v/>
      </c>
      <c r="C128" t="str">
        <f>IF(C9="","",SUM(C$6:C9))</f>
        <v/>
      </c>
      <c r="D128" t="str">
        <f>IF(D9="","",SUM(D$6:D9))</f>
        <v/>
      </c>
      <c r="E128" t="str">
        <f>IF(E9="","",SUM(E$6:E9))</f>
        <v/>
      </c>
      <c r="F128">
        <f>IF(F9="","",SUM(F$6:F9))</f>
        <v>0</v>
      </c>
      <c r="G128" t="str">
        <f>IF(G9="","",SUM(G$6:G9))</f>
        <v/>
      </c>
      <c r="H128" t="str">
        <f>IF(H9="","",SUM(H$6:H9))</f>
        <v/>
      </c>
      <c r="I128" t="str">
        <f>IF(I9="","",SUM(I$6:I9))</f>
        <v/>
      </c>
      <c r="J128" t="str">
        <f>IF(J9="","",SUM(J$6:J9))</f>
        <v/>
      </c>
      <c r="K128" t="str">
        <f>IF(K9="","",SUM(K$6:K9))</f>
        <v/>
      </c>
      <c r="L128">
        <f>IF(L9="","",SUM(L$6:L9))</f>
        <v>0</v>
      </c>
      <c r="M128" t="str">
        <f>IF(M9="","",SUM(M$6:M9))</f>
        <v/>
      </c>
      <c r="N128" t="str">
        <f>IF(N9="","",SUM(N$6:N9))</f>
        <v/>
      </c>
      <c r="O128">
        <f>IF(O9="","",SUM(O$6:O9))</f>
        <v>0</v>
      </c>
      <c r="P128" t="str">
        <f>IF(P9="","",SUM(P$6:P9))</f>
        <v/>
      </c>
      <c r="Q128">
        <f>IF(Q9="","",SUM(Q$6:Q9))</f>
        <v>0</v>
      </c>
      <c r="R128" t="str">
        <f>IF(R9="","",SUM(R$6:R9))</f>
        <v/>
      </c>
      <c r="S128">
        <f>IF(S9="","",SUM(S$6:S9))</f>
        <v>0</v>
      </c>
      <c r="T128">
        <f>IF(T9="","",SUM(T$6:T9))</f>
        <v>0</v>
      </c>
      <c r="U128" t="str">
        <f>IF(U9="","",SUM(U$6:U9))</f>
        <v/>
      </c>
      <c r="V128" t="str">
        <f>IF(V9="","",SUM(V$6:V9))</f>
        <v/>
      </c>
      <c r="W128" t="str">
        <f>IF(W9="","",SUM(W$6:W9))</f>
        <v/>
      </c>
      <c r="X128" t="str">
        <f>IF(X9="","",SUM(X$6:X9))</f>
        <v/>
      </c>
      <c r="Y128" t="str">
        <f>IF(Y9="","",SUM(Y$6:Y9))</f>
        <v/>
      </c>
      <c r="Z128" t="str">
        <f>IF(Z9="","",SUM(Z$6:Z9))</f>
        <v/>
      </c>
      <c r="AA128" t="str">
        <f>IF(AA9="","",SUM(AA$6:AA9))</f>
        <v/>
      </c>
      <c r="AB128" t="str">
        <f>IF(AB9="","",SUM(AB$6:AB9))</f>
        <v/>
      </c>
      <c r="AC128" t="str">
        <f>IF(AC9="","",SUM(AC$6:AC9))</f>
        <v/>
      </c>
      <c r="AD128">
        <f>IF(AD9="","",SUM(AD$6:AD9))</f>
        <v>0</v>
      </c>
      <c r="AE128" t="str">
        <f>IF(AE9="","",SUM(AE$6:AE9))</f>
        <v/>
      </c>
      <c r="AF128" t="str">
        <f>IF(AF9="","",SUM(AF$6:AF9))</f>
        <v/>
      </c>
      <c r="AG128" t="str">
        <f>IF(AG9="","",SUM(AG$6:AG9))</f>
        <v/>
      </c>
      <c r="AH128" t="str">
        <f>IF(AH9="","",SUM(AH$6:AH9))</f>
        <v/>
      </c>
      <c r="AI128">
        <f>IF(AI9="","",SUM(AI$6:AI9))</f>
        <v>0</v>
      </c>
    </row>
    <row r="129" spans="1:35" x14ac:dyDescent="0.3">
      <c r="A129" s="3">
        <v>125</v>
      </c>
      <c r="B129" t="str">
        <f>IF(B10="","",SUM(B$6:B10))</f>
        <v/>
      </c>
      <c r="C129" t="str">
        <f>IF(C10="","",SUM(C$6:C10))</f>
        <v/>
      </c>
      <c r="D129" t="str">
        <f>IF(D10="","",SUM(D$6:D10))</f>
        <v/>
      </c>
      <c r="E129" t="str">
        <f>IF(E10="","",SUM(E$6:E10))</f>
        <v/>
      </c>
      <c r="F129">
        <f>IF(F10="","",SUM(F$6:F10))</f>
        <v>0</v>
      </c>
      <c r="G129" t="str">
        <f>IF(G10="","",SUM(G$6:G10))</f>
        <v/>
      </c>
      <c r="H129" t="str">
        <f>IF(H10="","",SUM(H$6:H10))</f>
        <v/>
      </c>
      <c r="I129" t="str">
        <f>IF(I10="","",SUM(I$6:I10))</f>
        <v/>
      </c>
      <c r="J129" t="str">
        <f>IF(J10="","",SUM(J$6:J10))</f>
        <v/>
      </c>
      <c r="K129">
        <f>IF(K10="","",SUM(K$6:K10))</f>
        <v>0</v>
      </c>
      <c r="L129">
        <f>IF(L10="","",SUM(L$6:L10))</f>
        <v>0</v>
      </c>
      <c r="M129" t="str">
        <f>IF(M10="","",SUM(M$6:M10))</f>
        <v/>
      </c>
      <c r="N129" t="str">
        <f>IF(N10="","",SUM(N$6:N10))</f>
        <v/>
      </c>
      <c r="O129">
        <f>IF(O10="","",SUM(O$6:O10))</f>
        <v>0</v>
      </c>
      <c r="P129" t="str">
        <f>IF(P10="","",SUM(P$6:P10))</f>
        <v/>
      </c>
      <c r="Q129">
        <f>IF(Q10="","",SUM(Q$6:Q10))</f>
        <v>0</v>
      </c>
      <c r="R129" t="str">
        <f>IF(R10="","",SUM(R$6:R10))</f>
        <v/>
      </c>
      <c r="S129">
        <f>IF(S10="","",SUM(S$6:S10))</f>
        <v>0</v>
      </c>
      <c r="T129">
        <f>IF(T10="","",SUM(T$6:T10))</f>
        <v>0</v>
      </c>
      <c r="U129" t="str">
        <f>IF(U10="","",SUM(U$6:U10))</f>
        <v/>
      </c>
      <c r="V129" t="str">
        <f>IF(V10="","",SUM(V$6:V10))</f>
        <v/>
      </c>
      <c r="W129" t="str">
        <f>IF(W10="","",SUM(W$6:W10))</f>
        <v/>
      </c>
      <c r="X129" t="str">
        <f>IF(X10="","",SUM(X$6:X10))</f>
        <v/>
      </c>
      <c r="Y129" t="str">
        <f>IF(Y10="","",SUM(Y$6:Y10))</f>
        <v/>
      </c>
      <c r="Z129" t="str">
        <f>IF(Z10="","",SUM(Z$6:Z10))</f>
        <v/>
      </c>
      <c r="AA129" t="str">
        <f>IF(AA10="","",SUM(AA$6:AA10))</f>
        <v/>
      </c>
      <c r="AB129" t="str">
        <f>IF(AB10="","",SUM(AB$6:AB10))</f>
        <v/>
      </c>
      <c r="AC129" t="str">
        <f>IF(AC10="","",SUM(AC$6:AC10))</f>
        <v/>
      </c>
      <c r="AD129">
        <f>IF(AD10="","",SUM(AD$6:AD10))</f>
        <v>0</v>
      </c>
      <c r="AE129" t="str">
        <f>IF(AE10="","",SUM(AE$6:AE10))</f>
        <v/>
      </c>
      <c r="AF129" t="str">
        <f>IF(AF10="","",SUM(AF$6:AF10))</f>
        <v/>
      </c>
      <c r="AG129">
        <f>IF(AG10="","",SUM(AG$6:AG10))</f>
        <v>0</v>
      </c>
      <c r="AH129" t="str">
        <f>IF(AH10="","",SUM(AH$6:AH10))</f>
        <v/>
      </c>
      <c r="AI129">
        <f>IF(AI10="","",SUM(AI$6:AI10))</f>
        <v>0</v>
      </c>
    </row>
    <row r="130" spans="1:35" x14ac:dyDescent="0.3">
      <c r="A130" s="3">
        <v>126</v>
      </c>
      <c r="B130" t="str">
        <f>IF(B11="","",SUM(B$6:B11))</f>
        <v/>
      </c>
      <c r="C130" t="str">
        <f>IF(C11="","",SUM(C$6:C11))</f>
        <v/>
      </c>
      <c r="D130" t="str">
        <f>IF(D11="","",SUM(D$6:D11))</f>
        <v/>
      </c>
      <c r="E130" t="str">
        <f>IF(E11="","",SUM(E$6:E11))</f>
        <v/>
      </c>
      <c r="F130">
        <f>IF(F11="","",SUM(F$6:F11))</f>
        <v>0</v>
      </c>
      <c r="G130" t="str">
        <f>IF(G11="","",SUM(G$6:G11))</f>
        <v/>
      </c>
      <c r="H130" t="str">
        <f>IF(H11="","",SUM(H$6:H11))</f>
        <v/>
      </c>
      <c r="I130" t="str">
        <f>IF(I11="","",SUM(I$6:I11))</f>
        <v/>
      </c>
      <c r="J130" t="str">
        <f>IF(J11="","",SUM(J$6:J11))</f>
        <v/>
      </c>
      <c r="K130">
        <f>IF(K11="","",SUM(K$6:K11))</f>
        <v>0</v>
      </c>
      <c r="L130">
        <f>IF(L11="","",SUM(L$6:L11))</f>
        <v>0</v>
      </c>
      <c r="M130" t="str">
        <f>IF(M11="","",SUM(M$6:M11))</f>
        <v/>
      </c>
      <c r="N130" t="str">
        <f>IF(N11="","",SUM(N$6:N11))</f>
        <v/>
      </c>
      <c r="O130">
        <f>IF(O11="","",SUM(O$6:O11))</f>
        <v>0</v>
      </c>
      <c r="P130" t="str">
        <f>IF(P11="","",SUM(P$6:P11))</f>
        <v/>
      </c>
      <c r="Q130">
        <f>IF(Q11="","",SUM(Q$6:Q11))</f>
        <v>0</v>
      </c>
      <c r="R130" t="str">
        <f>IF(R11="","",SUM(R$6:R11))</f>
        <v/>
      </c>
      <c r="S130">
        <f>IF(S11="","",SUM(S$6:S11))</f>
        <v>0</v>
      </c>
      <c r="T130">
        <f>IF(T11="","",SUM(T$6:T11))</f>
        <v>0</v>
      </c>
      <c r="U130" t="str">
        <f>IF(U11="","",SUM(U$6:U11))</f>
        <v/>
      </c>
      <c r="V130" t="str">
        <f>IF(V11="","",SUM(V$6:V11))</f>
        <v/>
      </c>
      <c r="W130" t="str">
        <f>IF(W11="","",SUM(W$6:W11))</f>
        <v/>
      </c>
      <c r="X130" t="str">
        <f>IF(X11="","",SUM(X$6:X11))</f>
        <v/>
      </c>
      <c r="Y130">
        <f>IF(Y11="","",SUM(Y$6:Y11))</f>
        <v>0</v>
      </c>
      <c r="Z130" t="str">
        <f>IF(Z11="","",SUM(Z$6:Z11))</f>
        <v/>
      </c>
      <c r="AA130" t="str">
        <f>IF(AA11="","",SUM(AA$6:AA11))</f>
        <v/>
      </c>
      <c r="AB130">
        <f>IF(AB11="","",SUM(AB$6:AB11))</f>
        <v>0</v>
      </c>
      <c r="AC130" t="str">
        <f>IF(AC11="","",SUM(AC$6:AC11))</f>
        <v/>
      </c>
      <c r="AD130">
        <f>IF(AD11="","",SUM(AD$6:AD11))</f>
        <v>0</v>
      </c>
      <c r="AE130">
        <f>IF(AE11="","",SUM(AE$6:AE11))</f>
        <v>0</v>
      </c>
      <c r="AF130" t="str">
        <f>IF(AF11="","",SUM(AF$6:AF11))</f>
        <v/>
      </c>
      <c r="AG130">
        <f>IF(AG11="","",SUM(AG$6:AG11))</f>
        <v>0</v>
      </c>
      <c r="AH130" t="str">
        <f>IF(AH11="","",SUM(AH$6:AH11))</f>
        <v/>
      </c>
      <c r="AI130">
        <f>IF(AI11="","",SUM(AI$6:AI11))</f>
        <v>0</v>
      </c>
    </row>
    <row r="131" spans="1:35" x14ac:dyDescent="0.3">
      <c r="A131" s="3">
        <v>127</v>
      </c>
      <c r="B131" t="str">
        <f>IF(B12="","",SUM(B$6:B12))</f>
        <v/>
      </c>
      <c r="C131" t="str">
        <f>IF(C12="","",SUM(C$6:C12))</f>
        <v/>
      </c>
      <c r="D131" t="str">
        <f>IF(D12="","",SUM(D$6:D12))</f>
        <v/>
      </c>
      <c r="E131" t="str">
        <f>IF(E12="","",SUM(E$6:E12))</f>
        <v/>
      </c>
      <c r="F131">
        <f>IF(F12="","",SUM(F$6:F12))</f>
        <v>0</v>
      </c>
      <c r="G131" t="str">
        <f>IF(G12="","",SUM(G$6:G12))</f>
        <v/>
      </c>
      <c r="H131" t="str">
        <f>IF(H12="","",SUM(H$6:H12))</f>
        <v/>
      </c>
      <c r="I131" t="str">
        <f>IF(I12="","",SUM(I$6:I12))</f>
        <v/>
      </c>
      <c r="J131">
        <f>IF(J12="","",SUM(J$6:J12))</f>
        <v>0</v>
      </c>
      <c r="K131">
        <f>IF(K12="","",SUM(K$6:K12))</f>
        <v>0</v>
      </c>
      <c r="L131">
        <f>IF(L12="","",SUM(L$6:L12))</f>
        <v>0</v>
      </c>
      <c r="M131" t="str">
        <f>IF(M12="","",SUM(M$6:M12))</f>
        <v/>
      </c>
      <c r="N131" t="str">
        <f>IF(N12="","",SUM(N$6:N12))</f>
        <v/>
      </c>
      <c r="O131">
        <f>IF(O12="","",SUM(O$6:O12))</f>
        <v>0</v>
      </c>
      <c r="P131" t="str">
        <f>IF(P12="","",SUM(P$6:P12))</f>
        <v/>
      </c>
      <c r="Q131">
        <f>IF(Q12="","",SUM(Q$6:Q12))</f>
        <v>0</v>
      </c>
      <c r="R131" t="str">
        <f>IF(R12="","",SUM(R$6:R12))</f>
        <v/>
      </c>
      <c r="S131">
        <f>IF(S12="","",SUM(S$6:S12))</f>
        <v>0</v>
      </c>
      <c r="T131">
        <f>IF(T12="","",SUM(T$6:T12))</f>
        <v>0</v>
      </c>
      <c r="U131" t="str">
        <f>IF(U12="","",SUM(U$6:U12))</f>
        <v/>
      </c>
      <c r="V131" t="str">
        <f>IF(V12="","",SUM(V$6:V12))</f>
        <v/>
      </c>
      <c r="W131" t="str">
        <f>IF(W12="","",SUM(W$6:W12))</f>
        <v/>
      </c>
      <c r="X131" t="str">
        <f>IF(X12="","",SUM(X$6:X12))</f>
        <v/>
      </c>
      <c r="Y131">
        <f>IF(Y12="","",SUM(Y$6:Y12))</f>
        <v>0</v>
      </c>
      <c r="Z131" t="str">
        <f>IF(Z12="","",SUM(Z$6:Z12))</f>
        <v/>
      </c>
      <c r="AA131" t="str">
        <f>IF(AA12="","",SUM(AA$6:AA12))</f>
        <v/>
      </c>
      <c r="AB131">
        <f>IF(AB12="","",SUM(AB$6:AB12))</f>
        <v>0</v>
      </c>
      <c r="AC131">
        <f>IF(AC12="","",SUM(AC$6:AC12))</f>
        <v>0</v>
      </c>
      <c r="AD131">
        <f>IF(AD12="","",SUM(AD$6:AD12))</f>
        <v>0</v>
      </c>
      <c r="AE131">
        <f>IF(AE12="","",SUM(AE$6:AE12))</f>
        <v>0</v>
      </c>
      <c r="AF131" t="str">
        <f>IF(AF12="","",SUM(AF$6:AF12))</f>
        <v/>
      </c>
      <c r="AG131">
        <f>IF(AG12="","",SUM(AG$6:AG12))</f>
        <v>0</v>
      </c>
      <c r="AH131" t="str">
        <f>IF(AH12="","",SUM(AH$6:AH12))</f>
        <v/>
      </c>
      <c r="AI131">
        <f>IF(AI12="","",SUM(AI$6:AI12))</f>
        <v>0</v>
      </c>
    </row>
    <row r="132" spans="1:35" x14ac:dyDescent="0.3">
      <c r="A132" s="3">
        <v>128</v>
      </c>
      <c r="B132" t="str">
        <f>IF(B13="","",SUM(B$6:B13))</f>
        <v/>
      </c>
      <c r="C132" t="str">
        <f>IF(C13="","",SUM(C$6:C13))</f>
        <v/>
      </c>
      <c r="D132">
        <f>IF(D13="","",SUM(D$6:D13))</f>
        <v>0</v>
      </c>
      <c r="E132" t="str">
        <f>IF(E13="","",SUM(E$6:E13))</f>
        <v/>
      </c>
      <c r="F132">
        <f>IF(F13="","",SUM(F$6:F13))</f>
        <v>0</v>
      </c>
      <c r="G132" t="str">
        <f>IF(G13="","",SUM(G$6:G13))</f>
        <v/>
      </c>
      <c r="H132" t="str">
        <f>IF(H13="","",SUM(H$6:H13))</f>
        <v/>
      </c>
      <c r="I132">
        <f>IF(I13="","",SUM(I$6:I13))</f>
        <v>0</v>
      </c>
      <c r="J132">
        <f>IF(J13="","",SUM(J$6:J13))</f>
        <v>0</v>
      </c>
      <c r="K132">
        <f>IF(K13="","",SUM(K$6:K13))</f>
        <v>0</v>
      </c>
      <c r="L132">
        <f>IF(L13="","",SUM(L$6:L13))</f>
        <v>0</v>
      </c>
      <c r="M132" t="str">
        <f>IF(M13="","",SUM(M$6:M13))</f>
        <v/>
      </c>
      <c r="N132" t="str">
        <f>IF(N13="","",SUM(N$6:N13))</f>
        <v/>
      </c>
      <c r="O132">
        <f>IF(O13="","",SUM(O$6:O13))</f>
        <v>0</v>
      </c>
      <c r="P132" t="str">
        <f>IF(P13="","",SUM(P$6:P13))</f>
        <v/>
      </c>
      <c r="Q132">
        <f>IF(Q13="","",SUM(Q$6:Q13))</f>
        <v>0</v>
      </c>
      <c r="R132" t="str">
        <f>IF(R13="","",SUM(R$6:R13))</f>
        <v/>
      </c>
      <c r="S132">
        <f>IF(S13="","",SUM(S$6:S13))</f>
        <v>0</v>
      </c>
      <c r="T132">
        <f>IF(T13="","",SUM(T$6:T13))</f>
        <v>0</v>
      </c>
      <c r="U132" t="str">
        <f>IF(U13="","",SUM(U$6:U13))</f>
        <v/>
      </c>
      <c r="V132" t="str">
        <f>IF(V13="","",SUM(V$6:V13))</f>
        <v/>
      </c>
      <c r="W132" t="str">
        <f>IF(W13="","",SUM(W$6:W13))</f>
        <v/>
      </c>
      <c r="X132">
        <f>IF(X13="","",SUM(X$6:X13))</f>
        <v>0</v>
      </c>
      <c r="Y132">
        <f>IF(Y13="","",SUM(Y$6:Y13))</f>
        <v>0</v>
      </c>
      <c r="Z132" t="str">
        <f>IF(Z13="","",SUM(Z$6:Z13))</f>
        <v/>
      </c>
      <c r="AA132" t="str">
        <f>IF(AA13="","",SUM(AA$6:AA13))</f>
        <v/>
      </c>
      <c r="AB132">
        <f>IF(AB13="","",SUM(AB$6:AB13))</f>
        <v>0</v>
      </c>
      <c r="AC132">
        <f>IF(AC13="","",SUM(AC$6:AC13))</f>
        <v>0</v>
      </c>
      <c r="AD132">
        <f>IF(AD13="","",SUM(AD$6:AD13))</f>
        <v>0</v>
      </c>
      <c r="AE132">
        <f>IF(AE13="","",SUM(AE$6:AE13))</f>
        <v>0</v>
      </c>
      <c r="AF132" t="str">
        <f>IF(AF13="","",SUM(AF$6:AF13))</f>
        <v/>
      </c>
      <c r="AG132">
        <f>IF(AG13="","",SUM(AG$6:AG13))</f>
        <v>0</v>
      </c>
      <c r="AH132" t="str">
        <f>IF(AH13="","",SUM(AH$6:AH13))</f>
        <v/>
      </c>
      <c r="AI132">
        <f>IF(AI13="","",SUM(AI$6:AI13))</f>
        <v>0</v>
      </c>
    </row>
    <row r="133" spans="1:35" x14ac:dyDescent="0.3">
      <c r="A133" s="3">
        <v>129</v>
      </c>
      <c r="B133" t="str">
        <f>IF(B14="","",SUM(B$6:B14))</f>
        <v/>
      </c>
      <c r="C133" t="str">
        <f>IF(C14="","",SUM(C$6:C14))</f>
        <v/>
      </c>
      <c r="D133">
        <f>IF(D14="","",SUM(D$6:D14))</f>
        <v>0</v>
      </c>
      <c r="E133">
        <f>IF(E14="","",SUM(E$6:E14))</f>
        <v>0</v>
      </c>
      <c r="F133">
        <f>IF(F14="","",SUM(F$6:F14))</f>
        <v>0</v>
      </c>
      <c r="G133" t="str">
        <f>IF(G14="","",SUM(G$6:G14))</f>
        <v/>
      </c>
      <c r="H133" t="str">
        <f>IF(H14="","",SUM(H$6:H14))</f>
        <v/>
      </c>
      <c r="I133">
        <f>IF(I14="","",SUM(I$6:I14))</f>
        <v>0</v>
      </c>
      <c r="J133">
        <f>IF(J14="","",SUM(J$6:J14))</f>
        <v>0</v>
      </c>
      <c r="K133">
        <f>IF(K14="","",SUM(K$6:K14))</f>
        <v>0</v>
      </c>
      <c r="L133">
        <f>IF(L14="","",SUM(L$6:L14))</f>
        <v>0</v>
      </c>
      <c r="M133">
        <f>IF(M14="","",SUM(M$6:M14))</f>
        <v>0</v>
      </c>
      <c r="N133">
        <f>IF(N14="","",SUM(N$6:N14))</f>
        <v>0</v>
      </c>
      <c r="O133">
        <f>IF(O14="","",SUM(O$6:O14))</f>
        <v>0</v>
      </c>
      <c r="P133" t="str">
        <f>IF(P14="","",SUM(P$6:P14))</f>
        <v/>
      </c>
      <c r="Q133">
        <f>IF(Q14="","",SUM(Q$6:Q14))</f>
        <v>0</v>
      </c>
      <c r="R133">
        <f>IF(R14="","",SUM(R$6:R14))</f>
        <v>0</v>
      </c>
      <c r="S133">
        <f>IF(S14="","",SUM(S$6:S14))</f>
        <v>0</v>
      </c>
      <c r="T133">
        <f>IF(T14="","",SUM(T$6:T14))</f>
        <v>0</v>
      </c>
      <c r="U133" t="str">
        <f>IF(U14="","",SUM(U$6:U14))</f>
        <v/>
      </c>
      <c r="V133" t="str">
        <f>IF(V14="","",SUM(V$6:V14))</f>
        <v/>
      </c>
      <c r="W133">
        <f>IF(W14="","",SUM(W$6:W14))</f>
        <v>0</v>
      </c>
      <c r="X133">
        <f>IF(X14="","",SUM(X$6:X14))</f>
        <v>0</v>
      </c>
      <c r="Y133">
        <f>IF(Y14="","",SUM(Y$6:Y14))</f>
        <v>0</v>
      </c>
      <c r="Z133" t="str">
        <f>IF(Z14="","",SUM(Z$6:Z14))</f>
        <v/>
      </c>
      <c r="AA133" t="str">
        <f>IF(AA14="","",SUM(AA$6:AA14))</f>
        <v/>
      </c>
      <c r="AB133">
        <f>IF(AB14="","",SUM(AB$6:AB14))</f>
        <v>0</v>
      </c>
      <c r="AC133">
        <f>IF(AC14="","",SUM(AC$6:AC14))</f>
        <v>0</v>
      </c>
      <c r="AD133">
        <f>IF(AD14="","",SUM(AD$6:AD14))</f>
        <v>0</v>
      </c>
      <c r="AE133">
        <f>IF(AE14="","",SUM(AE$6:AE14))</f>
        <v>0</v>
      </c>
      <c r="AF133" t="str">
        <f>IF(AF14="","",SUM(AF$6:AF14))</f>
        <v/>
      </c>
      <c r="AG133">
        <f>IF(AG14="","",SUM(AG$6:AG14))</f>
        <v>0</v>
      </c>
      <c r="AH133" t="str">
        <f>IF(AH14="","",SUM(AH$6:AH14))</f>
        <v/>
      </c>
      <c r="AI133">
        <f>IF(AI14="","",SUM(AI$6:AI14))</f>
        <v>0</v>
      </c>
    </row>
    <row r="134" spans="1:35" x14ac:dyDescent="0.3">
      <c r="A134" s="3">
        <v>130</v>
      </c>
      <c r="B134" t="str">
        <f>IF(B15="","",SUM(B$6:B15))</f>
        <v/>
      </c>
      <c r="C134" t="str">
        <f>IF(C15="","",SUM(C$6:C15))</f>
        <v/>
      </c>
      <c r="D134">
        <f>IF(D15="","",SUM(D$6:D15))</f>
        <v>0</v>
      </c>
      <c r="E134">
        <f>IF(E15="","",SUM(E$6:E15))</f>
        <v>0</v>
      </c>
      <c r="F134">
        <f>IF(F15="","",SUM(F$6:F15))</f>
        <v>0</v>
      </c>
      <c r="G134" t="str">
        <f>IF(G15="","",SUM(G$6:G15))</f>
        <v/>
      </c>
      <c r="H134" t="str">
        <f>IF(H15="","",SUM(H$6:H15))</f>
        <v/>
      </c>
      <c r="I134">
        <f>IF(I15="","",SUM(I$6:I15))</f>
        <v>0</v>
      </c>
      <c r="J134">
        <f>IF(J15="","",SUM(J$6:J15))</f>
        <v>0</v>
      </c>
      <c r="K134">
        <f>IF(K15="","",SUM(K$6:K15))</f>
        <v>0</v>
      </c>
      <c r="L134">
        <f>IF(L15="","",SUM(L$6:L15))</f>
        <v>0</v>
      </c>
      <c r="M134">
        <f>IF(M15="","",SUM(M$6:M15))</f>
        <v>0</v>
      </c>
      <c r="N134">
        <f>IF(N15="","",SUM(N$6:N15))</f>
        <v>0</v>
      </c>
      <c r="O134">
        <f>IF(O15="","",SUM(O$6:O15))</f>
        <v>0</v>
      </c>
      <c r="P134">
        <f>IF(P15="","",SUM(P$6:P15))</f>
        <v>0</v>
      </c>
      <c r="Q134">
        <f>IF(Q15="","",SUM(Q$6:Q15))</f>
        <v>0</v>
      </c>
      <c r="R134">
        <f>IF(R15="","",SUM(R$6:R15))</f>
        <v>0</v>
      </c>
      <c r="S134">
        <f>IF(S15="","",SUM(S$6:S15))</f>
        <v>0</v>
      </c>
      <c r="T134">
        <f>IF(T15="","",SUM(T$6:T15))</f>
        <v>0</v>
      </c>
      <c r="U134">
        <f>IF(U15="","",SUM(U$6:U15))</f>
        <v>0</v>
      </c>
      <c r="V134" t="str">
        <f>IF(V15="","",SUM(V$6:V15))</f>
        <v/>
      </c>
      <c r="W134">
        <f>IF(W15="","",SUM(W$6:W15))</f>
        <v>0</v>
      </c>
      <c r="X134">
        <f>IF(X15="","",SUM(X$6:X15))</f>
        <v>0</v>
      </c>
      <c r="Y134">
        <f>IF(Y15="","",SUM(Y$6:Y15))</f>
        <v>0</v>
      </c>
      <c r="Z134" t="str">
        <f>IF(Z15="","",SUM(Z$6:Z15))</f>
        <v/>
      </c>
      <c r="AA134" t="str">
        <f>IF(AA15="","",SUM(AA$6:AA15))</f>
        <v/>
      </c>
      <c r="AB134">
        <f>IF(AB15="","",SUM(AB$6:AB15))</f>
        <v>1</v>
      </c>
      <c r="AC134">
        <f>IF(AC15="","",SUM(AC$6:AC15))</f>
        <v>0</v>
      </c>
      <c r="AD134">
        <f>IF(AD15="","",SUM(AD$6:AD15))</f>
        <v>0</v>
      </c>
      <c r="AE134">
        <f>IF(AE15="","",SUM(AE$6:AE15))</f>
        <v>0</v>
      </c>
      <c r="AF134" t="str">
        <f>IF(AF15="","",SUM(AF$6:AF15))</f>
        <v/>
      </c>
      <c r="AG134">
        <f>IF(AG15="","",SUM(AG$6:AG15))</f>
        <v>0</v>
      </c>
      <c r="AH134" t="str">
        <f>IF(AH15="","",SUM(AH$6:AH15))</f>
        <v/>
      </c>
      <c r="AI134">
        <f>IF(AI15="","",SUM(AI$6:AI15))</f>
        <v>0</v>
      </c>
    </row>
    <row r="135" spans="1:35" x14ac:dyDescent="0.3">
      <c r="A135" s="3">
        <v>131</v>
      </c>
      <c r="B135" t="str">
        <f>IF(B16="","",SUM(B$6:B16))</f>
        <v/>
      </c>
      <c r="C135" t="str">
        <f>IF(C16="","",SUM(C$6:C16))</f>
        <v/>
      </c>
      <c r="D135">
        <f>IF(D16="","",SUM(D$6:D16))</f>
        <v>0</v>
      </c>
      <c r="E135">
        <f>IF(E16="","",SUM(E$6:E16))</f>
        <v>0</v>
      </c>
      <c r="F135">
        <f>IF(F16="","",SUM(F$6:F16))</f>
        <v>0</v>
      </c>
      <c r="G135" t="str">
        <f>IF(G16="","",SUM(G$6:G16))</f>
        <v/>
      </c>
      <c r="H135" t="str">
        <f>IF(H16="","",SUM(H$6:H16))</f>
        <v/>
      </c>
      <c r="I135">
        <f>IF(I16="","",SUM(I$6:I16))</f>
        <v>0</v>
      </c>
      <c r="J135">
        <f>IF(J16="","",SUM(J$6:J16))</f>
        <v>0</v>
      </c>
      <c r="K135">
        <f>IF(K16="","",SUM(K$6:K16))</f>
        <v>0</v>
      </c>
      <c r="L135">
        <f>IF(L16="","",SUM(L$6:L16))</f>
        <v>0</v>
      </c>
      <c r="M135">
        <f>IF(M16="","",SUM(M$6:M16))</f>
        <v>0</v>
      </c>
      <c r="N135">
        <f>IF(N16="","",SUM(N$6:N16))</f>
        <v>0</v>
      </c>
      <c r="O135">
        <f>IF(O16="","",SUM(O$6:O16))</f>
        <v>0</v>
      </c>
      <c r="P135">
        <f>IF(P16="","",SUM(P$6:P16))</f>
        <v>0</v>
      </c>
      <c r="Q135">
        <f>IF(Q16="","",SUM(Q$6:Q16))</f>
        <v>0</v>
      </c>
      <c r="R135">
        <f>IF(R16="","",SUM(R$6:R16))</f>
        <v>0</v>
      </c>
      <c r="S135">
        <f>IF(S16="","",SUM(S$6:S16))</f>
        <v>0</v>
      </c>
      <c r="T135">
        <f>IF(T16="","",SUM(T$6:T16))</f>
        <v>0</v>
      </c>
      <c r="U135">
        <f>IF(U16="","",SUM(U$6:U16))</f>
        <v>0</v>
      </c>
      <c r="V135">
        <f>IF(V16="","",SUM(V$6:V16))</f>
        <v>0</v>
      </c>
      <c r="W135">
        <f>IF(W16="","",SUM(W$6:W16))</f>
        <v>0</v>
      </c>
      <c r="X135">
        <f>IF(X16="","",SUM(X$6:X16))</f>
        <v>0</v>
      </c>
      <c r="Y135">
        <f>IF(Y16="","",SUM(Y$6:Y16))</f>
        <v>0</v>
      </c>
      <c r="Z135" t="str">
        <f>IF(Z16="","",SUM(Z$6:Z16))</f>
        <v/>
      </c>
      <c r="AA135" t="str">
        <f>IF(AA16="","",SUM(AA$6:AA16))</f>
        <v/>
      </c>
      <c r="AB135">
        <f>IF(AB16="","",SUM(AB$6:AB16))</f>
        <v>3</v>
      </c>
      <c r="AC135">
        <f>IF(AC16="","",SUM(AC$6:AC16))</f>
        <v>0</v>
      </c>
      <c r="AD135">
        <f>IF(AD16="","",SUM(AD$6:AD16))</f>
        <v>0</v>
      </c>
      <c r="AE135">
        <f>IF(AE16="","",SUM(AE$6:AE16))</f>
        <v>0</v>
      </c>
      <c r="AF135" t="str">
        <f>IF(AF16="","",SUM(AF$6:AF16))</f>
        <v/>
      </c>
      <c r="AG135">
        <f>IF(AG16="","",SUM(AG$6:AG16))</f>
        <v>0</v>
      </c>
      <c r="AH135" t="str">
        <f>IF(AH16="","",SUM(AH$6:AH16))</f>
        <v/>
      </c>
      <c r="AI135">
        <f>IF(AI16="","",SUM(AI$6:AI16))</f>
        <v>0</v>
      </c>
    </row>
    <row r="136" spans="1:35" x14ac:dyDescent="0.3">
      <c r="A136" s="3">
        <v>132</v>
      </c>
      <c r="B136" t="str">
        <f>IF(B17="","",SUM(B$6:B17))</f>
        <v/>
      </c>
      <c r="C136" t="str">
        <f>IF(C17="","",SUM(C$6:C17))</f>
        <v/>
      </c>
      <c r="D136">
        <f>IF(D17="","",SUM(D$6:D17))</f>
        <v>0</v>
      </c>
      <c r="E136">
        <f>IF(E17="","",SUM(E$6:E17))</f>
        <v>0</v>
      </c>
      <c r="F136">
        <f>IF(F17="","",SUM(F$6:F17))</f>
        <v>0</v>
      </c>
      <c r="G136" t="str">
        <f>IF(G17="","",SUM(G$6:G17))</f>
        <v/>
      </c>
      <c r="H136" t="str">
        <f>IF(H17="","",SUM(H$6:H17))</f>
        <v/>
      </c>
      <c r="I136">
        <f>IF(I17="","",SUM(I$6:I17))</f>
        <v>0</v>
      </c>
      <c r="J136">
        <f>IF(J17="","",SUM(J$6:J17))</f>
        <v>0</v>
      </c>
      <c r="K136">
        <f>IF(K17="","",SUM(K$6:K17))</f>
        <v>0</v>
      </c>
      <c r="L136">
        <f>IF(L17="","",SUM(L$6:L17))</f>
        <v>0</v>
      </c>
      <c r="M136">
        <f>IF(M17="","",SUM(M$6:M17))</f>
        <v>0</v>
      </c>
      <c r="N136">
        <f>IF(N17="","",SUM(N$6:N17))</f>
        <v>0</v>
      </c>
      <c r="O136">
        <f>IF(O17="","",SUM(O$6:O17))</f>
        <v>0</v>
      </c>
      <c r="P136">
        <f>IF(P17="","",SUM(P$6:P17))</f>
        <v>0</v>
      </c>
      <c r="Q136">
        <f>IF(Q17="","",SUM(Q$6:Q17))</f>
        <v>0</v>
      </c>
      <c r="R136">
        <f>IF(R17="","",SUM(R$6:R17))</f>
        <v>0</v>
      </c>
      <c r="S136">
        <f>IF(S17="","",SUM(S$6:S17))</f>
        <v>0</v>
      </c>
      <c r="T136">
        <f>IF(T17="","",SUM(T$6:T17))</f>
        <v>0</v>
      </c>
      <c r="U136">
        <f>IF(U17="","",SUM(U$6:U17))</f>
        <v>0</v>
      </c>
      <c r="V136">
        <f>IF(V17="","",SUM(V$6:V17))</f>
        <v>0</v>
      </c>
      <c r="W136">
        <f>IF(W17="","",SUM(W$6:W17))</f>
        <v>0</v>
      </c>
      <c r="X136">
        <f>IF(X17="","",SUM(X$6:X17))</f>
        <v>0</v>
      </c>
      <c r="Y136">
        <f>IF(Y17="","",SUM(Y$6:Y17))</f>
        <v>0</v>
      </c>
      <c r="Z136" t="str">
        <f>IF(Z17="","",SUM(Z$6:Z17))</f>
        <v/>
      </c>
      <c r="AA136" t="str">
        <f>IF(AA17="","",SUM(AA$6:AA17))</f>
        <v/>
      </c>
      <c r="AB136">
        <f>IF(AB17="","",SUM(AB$6:AB17))</f>
        <v>4</v>
      </c>
      <c r="AC136">
        <f>IF(AC17="","",SUM(AC$6:AC17))</f>
        <v>0</v>
      </c>
      <c r="AD136">
        <f>IF(AD17="","",SUM(AD$6:AD17))</f>
        <v>0</v>
      </c>
      <c r="AE136">
        <f>IF(AE17="","",SUM(AE$6:AE17))</f>
        <v>0</v>
      </c>
      <c r="AF136" t="str">
        <f>IF(AF17="","",SUM(AF$6:AF17))</f>
        <v/>
      </c>
      <c r="AG136">
        <f>IF(AG17="","",SUM(AG$6:AG17))</f>
        <v>0</v>
      </c>
      <c r="AH136" t="str">
        <f>IF(AH17="","",SUM(AH$6:AH17))</f>
        <v/>
      </c>
      <c r="AI136">
        <f>IF(AI17="","",SUM(AI$6:AI17))</f>
        <v>0</v>
      </c>
    </row>
    <row r="137" spans="1:35" x14ac:dyDescent="0.3">
      <c r="A137" s="3">
        <v>133</v>
      </c>
      <c r="B137" t="str">
        <f>IF(B18="","",SUM(B$6:B18))</f>
        <v/>
      </c>
      <c r="C137" t="str">
        <f>IF(C18="","",SUM(C$6:C18))</f>
        <v/>
      </c>
      <c r="D137">
        <f>IF(D18="","",SUM(D$6:D18))</f>
        <v>0</v>
      </c>
      <c r="E137">
        <f>IF(E18="","",SUM(E$6:E18))</f>
        <v>0</v>
      </c>
      <c r="F137">
        <f>IF(F18="","",SUM(F$6:F18))</f>
        <v>0</v>
      </c>
      <c r="G137" t="str">
        <f>IF(G18="","",SUM(G$6:G18))</f>
        <v/>
      </c>
      <c r="H137" t="str">
        <f>IF(H18="","",SUM(H$6:H18))</f>
        <v/>
      </c>
      <c r="I137">
        <f>IF(I18="","",SUM(I$6:I18))</f>
        <v>0</v>
      </c>
      <c r="J137">
        <f>IF(J18="","",SUM(J$6:J18))</f>
        <v>0</v>
      </c>
      <c r="K137">
        <f>IF(K18="","",SUM(K$6:K18))</f>
        <v>0</v>
      </c>
      <c r="L137">
        <f>IF(L18="","",SUM(L$6:L18))</f>
        <v>0</v>
      </c>
      <c r="M137">
        <f>IF(M18="","",SUM(M$6:M18))</f>
        <v>0</v>
      </c>
      <c r="N137">
        <f>IF(N18="","",SUM(N$6:N18))</f>
        <v>0</v>
      </c>
      <c r="O137">
        <f>IF(O18="","",SUM(O$6:O18))</f>
        <v>0</v>
      </c>
      <c r="P137">
        <f>IF(P18="","",SUM(P$6:P18))</f>
        <v>0</v>
      </c>
      <c r="Q137">
        <f>IF(Q18="","",SUM(Q$6:Q18))</f>
        <v>0</v>
      </c>
      <c r="R137">
        <f>IF(R18="","",SUM(R$6:R18))</f>
        <v>0</v>
      </c>
      <c r="S137">
        <f>IF(S18="","",SUM(S$6:S18))</f>
        <v>0</v>
      </c>
      <c r="T137">
        <f>IF(T18="","",SUM(T$6:T18))</f>
        <v>0</v>
      </c>
      <c r="U137">
        <f>IF(U18="","",SUM(U$6:U18))</f>
        <v>0</v>
      </c>
      <c r="V137">
        <f>IF(V18="","",SUM(V$6:V18))</f>
        <v>0</v>
      </c>
      <c r="W137">
        <f>IF(W18="","",SUM(W$6:W18))</f>
        <v>0</v>
      </c>
      <c r="X137">
        <f>IF(X18="","",SUM(X$6:X18))</f>
        <v>0</v>
      </c>
      <c r="Y137">
        <f>IF(Y18="","",SUM(Y$6:Y18))</f>
        <v>0</v>
      </c>
      <c r="Z137" t="str">
        <f>IF(Z18="","",SUM(Z$6:Z18))</f>
        <v/>
      </c>
      <c r="AA137" t="str">
        <f>IF(AA18="","",SUM(AA$6:AA18))</f>
        <v/>
      </c>
      <c r="AB137">
        <f>IF(AB18="","",SUM(AB$6:AB18))</f>
        <v>4</v>
      </c>
      <c r="AC137">
        <f>IF(AC18="","",SUM(AC$6:AC18))</f>
        <v>0</v>
      </c>
      <c r="AD137">
        <f>IF(AD18="","",SUM(AD$6:AD18))</f>
        <v>0</v>
      </c>
      <c r="AE137">
        <f>IF(AE18="","",SUM(AE$6:AE18))</f>
        <v>0</v>
      </c>
      <c r="AF137" t="str">
        <f>IF(AF18="","",SUM(AF$6:AF18))</f>
        <v/>
      </c>
      <c r="AG137">
        <f>IF(AG18="","",SUM(AG$6:AG18))</f>
        <v>0</v>
      </c>
      <c r="AH137" t="str">
        <f>IF(AH18="","",SUM(AH$6:AH18))</f>
        <v/>
      </c>
      <c r="AI137">
        <f>IF(AI18="","",SUM(AI$6:AI18))</f>
        <v>0</v>
      </c>
    </row>
    <row r="138" spans="1:35" x14ac:dyDescent="0.3">
      <c r="A138" s="3">
        <v>134</v>
      </c>
      <c r="B138" t="str">
        <f>IF(B19="","",SUM(B$6:B19))</f>
        <v/>
      </c>
      <c r="C138" t="str">
        <f>IF(C19="","",SUM(C$6:C19))</f>
        <v/>
      </c>
      <c r="D138">
        <f>IF(D19="","",SUM(D$6:D19))</f>
        <v>0</v>
      </c>
      <c r="E138">
        <f>IF(E19="","",SUM(E$6:E19))</f>
        <v>0</v>
      </c>
      <c r="F138">
        <f>IF(F19="","",SUM(F$6:F19))</f>
        <v>0</v>
      </c>
      <c r="G138" t="str">
        <f>IF(G19="","",SUM(G$6:G19))</f>
        <v/>
      </c>
      <c r="H138" t="str">
        <f>IF(H19="","",SUM(H$6:H19))</f>
        <v/>
      </c>
      <c r="I138">
        <f>IF(I19="","",SUM(I$6:I19))</f>
        <v>0</v>
      </c>
      <c r="J138">
        <f>IF(J19="","",SUM(J$6:J19))</f>
        <v>0</v>
      </c>
      <c r="K138">
        <f>IF(K19="","",SUM(K$6:K19))</f>
        <v>0</v>
      </c>
      <c r="L138">
        <f>IF(L19="","",SUM(L$6:L19))</f>
        <v>0</v>
      </c>
      <c r="M138">
        <f>IF(M19="","",SUM(M$6:M19))</f>
        <v>0</v>
      </c>
      <c r="N138">
        <f>IF(N19="","",SUM(N$6:N19))</f>
        <v>0</v>
      </c>
      <c r="O138">
        <f>IF(O19="","",SUM(O$6:O19))</f>
        <v>0</v>
      </c>
      <c r="P138">
        <f>IF(P19="","",SUM(P$6:P19))</f>
        <v>0</v>
      </c>
      <c r="Q138">
        <f>IF(Q19="","",SUM(Q$6:Q19))</f>
        <v>0</v>
      </c>
      <c r="R138">
        <f>IF(R19="","",SUM(R$6:R19))</f>
        <v>0</v>
      </c>
      <c r="S138">
        <f>IF(S19="","",SUM(S$6:S19))</f>
        <v>0</v>
      </c>
      <c r="T138">
        <f>IF(T19="","",SUM(T$6:T19))</f>
        <v>0</v>
      </c>
      <c r="U138">
        <f>IF(U19="","",SUM(U$6:U19))</f>
        <v>0</v>
      </c>
      <c r="V138">
        <f>IF(V19="","",SUM(V$6:V19))</f>
        <v>0</v>
      </c>
      <c r="W138">
        <f>IF(W19="","",SUM(W$6:W19))</f>
        <v>0</v>
      </c>
      <c r="X138">
        <f>IF(X19="","",SUM(X$6:X19))</f>
        <v>0</v>
      </c>
      <c r="Y138">
        <f>IF(Y19="","",SUM(Y$6:Y19))</f>
        <v>0</v>
      </c>
      <c r="Z138" t="str">
        <f>IF(Z19="","",SUM(Z$6:Z19))</f>
        <v/>
      </c>
      <c r="AA138" t="str">
        <f>IF(AA19="","",SUM(AA$6:AA19))</f>
        <v/>
      </c>
      <c r="AB138">
        <f>IF(AB19="","",SUM(AB$6:AB19))</f>
        <v>5</v>
      </c>
      <c r="AC138">
        <f>IF(AC19="","",SUM(AC$6:AC19))</f>
        <v>0</v>
      </c>
      <c r="AD138">
        <f>IF(AD19="","",SUM(AD$6:AD19))</f>
        <v>0</v>
      </c>
      <c r="AE138">
        <f>IF(AE19="","",SUM(AE$6:AE19))</f>
        <v>0</v>
      </c>
      <c r="AF138" t="str">
        <f>IF(AF19="","",SUM(AF$6:AF19))</f>
        <v/>
      </c>
      <c r="AG138">
        <f>IF(AG19="","",SUM(AG$6:AG19))</f>
        <v>0</v>
      </c>
      <c r="AH138">
        <f>IF(AH19="","",SUM(AH$6:AH19))</f>
        <v>0</v>
      </c>
      <c r="AI138">
        <f>IF(AI19="","",SUM(AI$6:AI19))</f>
        <v>0</v>
      </c>
    </row>
    <row r="139" spans="1:35" x14ac:dyDescent="0.3">
      <c r="A139" s="3">
        <v>135</v>
      </c>
      <c r="B139" t="str">
        <f>IF(B20="","",SUM(B$6:B20))</f>
        <v/>
      </c>
      <c r="C139" t="str">
        <f>IF(C20="","",SUM(C$6:C20))</f>
        <v/>
      </c>
      <c r="D139">
        <f>IF(D20="","",SUM(D$6:D20))</f>
        <v>0</v>
      </c>
      <c r="E139">
        <f>IF(E20="","",SUM(E$6:E20))</f>
        <v>0</v>
      </c>
      <c r="F139">
        <f>IF(F20="","",SUM(F$6:F20))</f>
        <v>0</v>
      </c>
      <c r="G139" t="str">
        <f>IF(G20="","",SUM(G$6:G20))</f>
        <v/>
      </c>
      <c r="H139" t="str">
        <f>IF(H20="","",SUM(H$6:H20))</f>
        <v/>
      </c>
      <c r="I139">
        <f>IF(I20="","",SUM(I$6:I20))</f>
        <v>0</v>
      </c>
      <c r="J139">
        <f>IF(J20="","",SUM(J$6:J20))</f>
        <v>0</v>
      </c>
      <c r="K139">
        <f>IF(K20="","",SUM(K$6:K20))</f>
        <v>0</v>
      </c>
      <c r="L139">
        <f>IF(L20="","",SUM(L$6:L20))</f>
        <v>0</v>
      </c>
      <c r="M139">
        <f>IF(M20="","",SUM(M$6:M20))</f>
        <v>0</v>
      </c>
      <c r="N139">
        <f>IF(N20="","",SUM(N$6:N20))</f>
        <v>0</v>
      </c>
      <c r="O139">
        <f>IF(O20="","",SUM(O$6:O20))</f>
        <v>0</v>
      </c>
      <c r="P139">
        <f>IF(P20="","",SUM(P$6:P20))</f>
        <v>0</v>
      </c>
      <c r="Q139">
        <f>IF(Q20="","",SUM(Q$6:Q20))</f>
        <v>0</v>
      </c>
      <c r="R139">
        <f>IF(R20="","",SUM(R$6:R20))</f>
        <v>0</v>
      </c>
      <c r="S139">
        <f>IF(S20="","",SUM(S$6:S20))</f>
        <v>0</v>
      </c>
      <c r="T139">
        <f>IF(T20="","",SUM(T$6:T20))</f>
        <v>0</v>
      </c>
      <c r="U139">
        <f>IF(U20="","",SUM(U$6:U20))</f>
        <v>0</v>
      </c>
      <c r="V139">
        <f>IF(V20="","",SUM(V$6:V20))</f>
        <v>0</v>
      </c>
      <c r="W139">
        <f>IF(W20="","",SUM(W$6:W20))</f>
        <v>0</v>
      </c>
      <c r="X139">
        <f>IF(X20="","",SUM(X$6:X20))</f>
        <v>0</v>
      </c>
      <c r="Y139">
        <f>IF(Y20="","",SUM(Y$6:Y20))</f>
        <v>3</v>
      </c>
      <c r="Z139" t="str">
        <f>IF(Z20="","",SUM(Z$6:Z20))</f>
        <v/>
      </c>
      <c r="AA139" t="str">
        <f>IF(AA20="","",SUM(AA$6:AA20))</f>
        <v/>
      </c>
      <c r="AB139">
        <f>IF(AB20="","",SUM(AB$6:AB20))</f>
        <v>5</v>
      </c>
      <c r="AC139">
        <f>IF(AC20="","",SUM(AC$6:AC20))</f>
        <v>0</v>
      </c>
      <c r="AD139">
        <f>IF(AD20="","",SUM(AD$6:AD20))</f>
        <v>0</v>
      </c>
      <c r="AE139">
        <f>IF(AE20="","",SUM(AE$6:AE20))</f>
        <v>0</v>
      </c>
      <c r="AF139" t="str">
        <f>IF(AF20="","",SUM(AF$6:AF20))</f>
        <v/>
      </c>
      <c r="AG139">
        <f>IF(AG20="","",SUM(AG$6:AG20))</f>
        <v>0</v>
      </c>
      <c r="AH139">
        <f>IF(AH20="","",SUM(AH$6:AH20))</f>
        <v>0</v>
      </c>
      <c r="AI139">
        <f>IF(AI20="","",SUM(AI$6:AI20))</f>
        <v>0</v>
      </c>
    </row>
    <row r="140" spans="1:35" x14ac:dyDescent="0.3">
      <c r="A140" s="3">
        <v>136</v>
      </c>
      <c r="B140" t="str">
        <f>IF(B21="","",SUM(B$6:B21))</f>
        <v/>
      </c>
      <c r="C140" t="str">
        <f>IF(C21="","",SUM(C$6:C21))</f>
        <v/>
      </c>
      <c r="D140">
        <f>IF(D21="","",SUM(D$6:D21))</f>
        <v>0</v>
      </c>
      <c r="E140">
        <f>IF(E21="","",SUM(E$6:E21))</f>
        <v>0</v>
      </c>
      <c r="F140">
        <f>IF(F21="","",SUM(F$6:F21))</f>
        <v>0</v>
      </c>
      <c r="G140" t="str">
        <f>IF(G21="","",SUM(G$6:G21))</f>
        <v/>
      </c>
      <c r="H140" t="str">
        <f>IF(H21="","",SUM(H$6:H21))</f>
        <v/>
      </c>
      <c r="I140">
        <f>IF(I21="","",SUM(I$6:I21))</f>
        <v>0</v>
      </c>
      <c r="J140">
        <f>IF(J21="","",SUM(J$6:J21))</f>
        <v>0</v>
      </c>
      <c r="K140">
        <f>IF(K21="","",SUM(K$6:K21))</f>
        <v>0</v>
      </c>
      <c r="L140">
        <f>IF(L21="","",SUM(L$6:L21))</f>
        <v>0</v>
      </c>
      <c r="M140">
        <f>IF(M21="","",SUM(M$6:M21))</f>
        <v>0</v>
      </c>
      <c r="N140">
        <f>IF(N21="","",SUM(N$6:N21))</f>
        <v>0</v>
      </c>
      <c r="O140">
        <f>IF(O21="","",SUM(O$6:O21))</f>
        <v>0</v>
      </c>
      <c r="P140">
        <f>IF(P21="","",SUM(P$6:P21))</f>
        <v>0</v>
      </c>
      <c r="Q140">
        <f>IF(Q21="","",SUM(Q$6:Q21))</f>
        <v>0</v>
      </c>
      <c r="R140">
        <f>IF(R21="","",SUM(R$6:R21))</f>
        <v>0</v>
      </c>
      <c r="S140">
        <f>IF(S21="","",SUM(S$6:S21))</f>
        <v>0</v>
      </c>
      <c r="T140">
        <f>IF(T21="","",SUM(T$6:T21))</f>
        <v>0</v>
      </c>
      <c r="U140">
        <f>IF(U21="","",SUM(U$6:U21))</f>
        <v>0</v>
      </c>
      <c r="V140">
        <f>IF(V21="","",SUM(V$6:V21))</f>
        <v>0</v>
      </c>
      <c r="W140">
        <f>IF(W21="","",SUM(W$6:W21))</f>
        <v>5</v>
      </c>
      <c r="X140">
        <f>IF(X21="","",SUM(X$6:X21))</f>
        <v>0</v>
      </c>
      <c r="Y140">
        <f>IF(Y21="","",SUM(Y$6:Y21))</f>
        <v>3</v>
      </c>
      <c r="Z140" t="str">
        <f>IF(Z21="","",SUM(Z$6:Z21))</f>
        <v/>
      </c>
      <c r="AA140" t="str">
        <f>IF(AA21="","",SUM(AA$6:AA21))</f>
        <v/>
      </c>
      <c r="AB140">
        <f>IF(AB21="","",SUM(AB$6:AB21))</f>
        <v>5</v>
      </c>
      <c r="AC140">
        <f>IF(AC21="","",SUM(AC$6:AC21))</f>
        <v>0</v>
      </c>
      <c r="AD140">
        <f>IF(AD21="","",SUM(AD$6:AD21))</f>
        <v>0</v>
      </c>
      <c r="AE140">
        <f>IF(AE21="","",SUM(AE$6:AE21))</f>
        <v>0</v>
      </c>
      <c r="AF140" t="str">
        <f>IF(AF21="","",SUM(AF$6:AF21))</f>
        <v/>
      </c>
      <c r="AG140">
        <f>IF(AG21="","",SUM(AG$6:AG21))</f>
        <v>0</v>
      </c>
      <c r="AH140">
        <f>IF(AH21="","",SUM(AH$6:AH21))</f>
        <v>0</v>
      </c>
      <c r="AI140">
        <f>IF(AI21="","",SUM(AI$6:AI21))</f>
        <v>0</v>
      </c>
    </row>
    <row r="141" spans="1:35" x14ac:dyDescent="0.3">
      <c r="A141" s="3">
        <v>137</v>
      </c>
      <c r="B141" t="str">
        <f>IF(B22="","",SUM(B$6:B22))</f>
        <v/>
      </c>
      <c r="C141" t="str">
        <f>IF(C22="","",SUM(C$6:C22))</f>
        <v/>
      </c>
      <c r="D141">
        <f>IF(D22="","",SUM(D$6:D22))</f>
        <v>0</v>
      </c>
      <c r="E141">
        <f>IF(E22="","",SUM(E$6:E22))</f>
        <v>0</v>
      </c>
      <c r="F141">
        <f>IF(F22="","",SUM(F$6:F22))</f>
        <v>0</v>
      </c>
      <c r="G141" t="str">
        <f>IF(G22="","",SUM(G$6:G22))</f>
        <v/>
      </c>
      <c r="H141" t="str">
        <f>IF(H22="","",SUM(H$6:H22))</f>
        <v/>
      </c>
      <c r="I141">
        <f>IF(I22="","",SUM(I$6:I22))</f>
        <v>0</v>
      </c>
      <c r="J141">
        <f>IF(J22="","",SUM(J$6:J22))</f>
        <v>0</v>
      </c>
      <c r="K141">
        <f>IF(K22="","",SUM(K$6:K22))</f>
        <v>0</v>
      </c>
      <c r="L141">
        <f>IF(L22="","",SUM(L$6:L22))</f>
        <v>0</v>
      </c>
      <c r="M141">
        <f>IF(M22="","",SUM(M$6:M22))</f>
        <v>0</v>
      </c>
      <c r="N141">
        <f>IF(N22="","",SUM(N$6:N22))</f>
        <v>0</v>
      </c>
      <c r="O141">
        <f>IF(O22="","",SUM(O$6:O22))</f>
        <v>0</v>
      </c>
      <c r="P141">
        <f>IF(P22="","",SUM(P$6:P22))</f>
        <v>0</v>
      </c>
      <c r="Q141">
        <f>IF(Q22="","",SUM(Q$6:Q22))</f>
        <v>0</v>
      </c>
      <c r="R141">
        <f>IF(R22="","",SUM(R$6:R22))</f>
        <v>0</v>
      </c>
      <c r="S141">
        <f>IF(S22="","",SUM(S$6:S22))</f>
        <v>0</v>
      </c>
      <c r="T141">
        <f>IF(T22="","",SUM(T$6:T22))</f>
        <v>0</v>
      </c>
      <c r="U141">
        <f>IF(U22="","",SUM(U$6:U22))</f>
        <v>0</v>
      </c>
      <c r="V141">
        <f>IF(V22="","",SUM(V$6:V22))</f>
        <v>0</v>
      </c>
      <c r="W141">
        <f>IF(W22="","",SUM(W$6:W22))</f>
        <v>5</v>
      </c>
      <c r="X141">
        <f>IF(X22="","",SUM(X$6:X22))</f>
        <v>0</v>
      </c>
      <c r="Y141">
        <f>IF(Y22="","",SUM(Y$6:Y22))</f>
        <v>3</v>
      </c>
      <c r="Z141" t="str">
        <f>IF(Z22="","",SUM(Z$6:Z22))</f>
        <v/>
      </c>
      <c r="AA141" t="str">
        <f>IF(AA22="","",SUM(AA$6:AA22))</f>
        <v/>
      </c>
      <c r="AB141">
        <f>IF(AB22="","",SUM(AB$6:AB22))</f>
        <v>7</v>
      </c>
      <c r="AC141">
        <f>IF(AC22="","",SUM(AC$6:AC22))</f>
        <v>0</v>
      </c>
      <c r="AD141">
        <f>IF(AD22="","",SUM(AD$6:AD22))</f>
        <v>0</v>
      </c>
      <c r="AE141">
        <f>IF(AE22="","",SUM(AE$6:AE22))</f>
        <v>0</v>
      </c>
      <c r="AF141" t="str">
        <f>IF(AF22="","",SUM(AF$6:AF22))</f>
        <v/>
      </c>
      <c r="AG141">
        <f>IF(AG22="","",SUM(AG$6:AG22))</f>
        <v>0</v>
      </c>
      <c r="AH141">
        <f>IF(AH22="","",SUM(AH$6:AH22))</f>
        <v>0</v>
      </c>
      <c r="AI141">
        <f>IF(AI22="","",SUM(AI$6:AI22))</f>
        <v>0</v>
      </c>
    </row>
    <row r="142" spans="1:35" x14ac:dyDescent="0.3">
      <c r="A142" s="3">
        <v>138</v>
      </c>
      <c r="B142" t="str">
        <f>IF(B23="","",SUM(B$6:B23))</f>
        <v/>
      </c>
      <c r="C142" t="str">
        <f>IF(C23="","",SUM(C$6:C23))</f>
        <v/>
      </c>
      <c r="D142">
        <f>IF(D23="","",SUM(D$6:D23))</f>
        <v>0</v>
      </c>
      <c r="E142">
        <f>IF(E23="","",SUM(E$6:E23))</f>
        <v>0</v>
      </c>
      <c r="F142">
        <f>IF(F23="","",SUM(F$6:F23))</f>
        <v>0</v>
      </c>
      <c r="G142" t="str">
        <f>IF(G23="","",SUM(G$6:G23))</f>
        <v/>
      </c>
      <c r="H142" t="str">
        <f>IF(H23="","",SUM(H$6:H23))</f>
        <v/>
      </c>
      <c r="I142">
        <f>IF(I23="","",SUM(I$6:I23))</f>
        <v>0</v>
      </c>
      <c r="J142">
        <f>IF(J23="","",SUM(J$6:J23))</f>
        <v>0</v>
      </c>
      <c r="K142">
        <f>IF(K23="","",SUM(K$6:K23))</f>
        <v>0</v>
      </c>
      <c r="L142">
        <f>IF(L23="","",SUM(L$6:L23))</f>
        <v>0</v>
      </c>
      <c r="M142">
        <f>IF(M23="","",SUM(M$6:M23))</f>
        <v>0</v>
      </c>
      <c r="N142">
        <f>IF(N23="","",SUM(N$6:N23))</f>
        <v>0</v>
      </c>
      <c r="O142">
        <f>IF(O23="","",SUM(O$6:O23))</f>
        <v>0</v>
      </c>
      <c r="P142">
        <f>IF(P23="","",SUM(P$6:P23))</f>
        <v>0</v>
      </c>
      <c r="Q142">
        <f>IF(Q23="","",SUM(Q$6:Q23))</f>
        <v>0</v>
      </c>
      <c r="R142">
        <f>IF(R23="","",SUM(R$6:R23))</f>
        <v>0</v>
      </c>
      <c r="S142">
        <f>IF(S23="","",SUM(S$6:S23))</f>
        <v>0</v>
      </c>
      <c r="T142">
        <f>IF(T23="","",SUM(T$6:T23))</f>
        <v>0</v>
      </c>
      <c r="U142">
        <f>IF(U23="","",SUM(U$6:U23))</f>
        <v>0</v>
      </c>
      <c r="V142">
        <f>IF(V23="","",SUM(V$6:V23))</f>
        <v>0</v>
      </c>
      <c r="W142">
        <f>IF(W23="","",SUM(W$6:W23))</f>
        <v>5</v>
      </c>
      <c r="X142">
        <f>IF(X23="","",SUM(X$6:X23))</f>
        <v>0</v>
      </c>
      <c r="Y142">
        <f>IF(Y23="","",SUM(Y$6:Y23))</f>
        <v>3</v>
      </c>
      <c r="Z142" t="str">
        <f>IF(Z23="","",SUM(Z$6:Z23))</f>
        <v/>
      </c>
      <c r="AA142" t="str">
        <f>IF(AA23="","",SUM(AA$6:AA23))</f>
        <v/>
      </c>
      <c r="AB142">
        <f>IF(AB23="","",SUM(AB$6:AB23))</f>
        <v>7</v>
      </c>
      <c r="AC142">
        <f>IF(AC23="","",SUM(AC$6:AC23))</f>
        <v>0</v>
      </c>
      <c r="AD142">
        <f>IF(AD23="","",SUM(AD$6:AD23))</f>
        <v>0</v>
      </c>
      <c r="AE142">
        <f>IF(AE23="","",SUM(AE$6:AE23))</f>
        <v>0</v>
      </c>
      <c r="AF142" t="str">
        <f>IF(AF23="","",SUM(AF$6:AF23))</f>
        <v/>
      </c>
      <c r="AG142">
        <f>IF(AG23="","",SUM(AG$6:AG23))</f>
        <v>0</v>
      </c>
      <c r="AH142">
        <f>IF(AH23="","",SUM(AH$6:AH23))</f>
        <v>0</v>
      </c>
      <c r="AI142">
        <f>IF(AI23="","",SUM(AI$6:AI23))</f>
        <v>0</v>
      </c>
    </row>
    <row r="143" spans="1:35" x14ac:dyDescent="0.3">
      <c r="A143" s="3">
        <v>139</v>
      </c>
      <c r="B143" t="str">
        <f>IF(B24="","",SUM(B$6:B24))</f>
        <v/>
      </c>
      <c r="C143" t="str">
        <f>IF(C24="","",SUM(C$6:C24))</f>
        <v/>
      </c>
      <c r="D143">
        <f>IF(D24="","",SUM(D$6:D24))</f>
        <v>0</v>
      </c>
      <c r="E143">
        <f>IF(E24="","",SUM(E$6:E24))</f>
        <v>0</v>
      </c>
      <c r="F143">
        <f>IF(F24="","",SUM(F$6:F24))</f>
        <v>0</v>
      </c>
      <c r="G143" t="str">
        <f>IF(G24="","",SUM(G$6:G24))</f>
        <v/>
      </c>
      <c r="H143" t="str">
        <f>IF(H24="","",SUM(H$6:H24))</f>
        <v/>
      </c>
      <c r="I143">
        <f>IF(I24="","",SUM(I$6:I24))</f>
        <v>0</v>
      </c>
      <c r="J143">
        <f>IF(J24="","",SUM(J$6:J24))</f>
        <v>0</v>
      </c>
      <c r="K143">
        <f>IF(K24="","",SUM(K$6:K24))</f>
        <v>0</v>
      </c>
      <c r="L143">
        <f>IF(L24="","",SUM(L$6:L24))</f>
        <v>0</v>
      </c>
      <c r="M143">
        <f>IF(M24="","",SUM(M$6:M24))</f>
        <v>0</v>
      </c>
      <c r="N143">
        <f>IF(N24="","",SUM(N$6:N24))</f>
        <v>0</v>
      </c>
      <c r="O143">
        <f>IF(O24="","",SUM(O$6:O24))</f>
        <v>0</v>
      </c>
      <c r="P143">
        <f>IF(P24="","",SUM(P$6:P24))</f>
        <v>0</v>
      </c>
      <c r="Q143">
        <f>IF(Q24="","",SUM(Q$6:Q24))</f>
        <v>0</v>
      </c>
      <c r="R143">
        <f>IF(R24="","",SUM(R$6:R24))</f>
        <v>0</v>
      </c>
      <c r="S143">
        <f>IF(S24="","",SUM(S$6:S24))</f>
        <v>0</v>
      </c>
      <c r="T143">
        <f>IF(T24="","",SUM(T$6:T24))</f>
        <v>0</v>
      </c>
      <c r="U143">
        <f>IF(U24="","",SUM(U$6:U24))</f>
        <v>0</v>
      </c>
      <c r="V143">
        <f>IF(V24="","",SUM(V$6:V24))</f>
        <v>0</v>
      </c>
      <c r="W143">
        <f>IF(W24="","",SUM(W$6:W24))</f>
        <v>5</v>
      </c>
      <c r="X143">
        <f>IF(X24="","",SUM(X$6:X24))</f>
        <v>0</v>
      </c>
      <c r="Y143">
        <f>IF(Y24="","",SUM(Y$6:Y24))</f>
        <v>3</v>
      </c>
      <c r="Z143">
        <f>IF(Z24="","",SUM(Z$6:Z24))</f>
        <v>0</v>
      </c>
      <c r="AA143" t="str">
        <f>IF(AA24="","",SUM(AA$6:AA24))</f>
        <v/>
      </c>
      <c r="AB143">
        <f>IF(AB24="","",SUM(AB$6:AB24))</f>
        <v>7</v>
      </c>
      <c r="AC143">
        <f>IF(AC24="","",SUM(AC$6:AC24))</f>
        <v>0</v>
      </c>
      <c r="AD143">
        <f>IF(AD24="","",SUM(AD$6:AD24))</f>
        <v>0</v>
      </c>
      <c r="AE143">
        <f>IF(AE24="","",SUM(AE$6:AE24))</f>
        <v>0</v>
      </c>
      <c r="AF143" t="str">
        <f>IF(AF24="","",SUM(AF$6:AF24))</f>
        <v/>
      </c>
      <c r="AG143">
        <f>IF(AG24="","",SUM(AG$6:AG24))</f>
        <v>0</v>
      </c>
      <c r="AH143">
        <f>IF(AH24="","",SUM(AH$6:AH24))</f>
        <v>0</v>
      </c>
      <c r="AI143">
        <f>IF(AI24="","",SUM(AI$6:AI24))</f>
        <v>0</v>
      </c>
    </row>
    <row r="144" spans="1:35" x14ac:dyDescent="0.3">
      <c r="A144" s="3">
        <v>140</v>
      </c>
      <c r="B144" t="str">
        <f>IF(B25="","",SUM(B$6:B25))</f>
        <v/>
      </c>
      <c r="C144" t="str">
        <f>IF(C25="","",SUM(C$6:C25))</f>
        <v/>
      </c>
      <c r="D144">
        <f>IF(D25="","",SUM(D$6:D25))</f>
        <v>0</v>
      </c>
      <c r="E144">
        <f>IF(E25="","",SUM(E$6:E25))</f>
        <v>0</v>
      </c>
      <c r="F144">
        <f>IF(F25="","",SUM(F$6:F25))</f>
        <v>0</v>
      </c>
      <c r="G144" t="str">
        <f>IF(G25="","",SUM(G$6:G25))</f>
        <v/>
      </c>
      <c r="H144" t="str">
        <f>IF(H25="","",SUM(H$6:H25))</f>
        <v/>
      </c>
      <c r="I144">
        <f>IF(I25="","",SUM(I$6:I25))</f>
        <v>0</v>
      </c>
      <c r="J144">
        <f>IF(J25="","",SUM(J$6:J25))</f>
        <v>0</v>
      </c>
      <c r="K144">
        <f>IF(K25="","",SUM(K$6:K25))</f>
        <v>0</v>
      </c>
      <c r="L144">
        <f>IF(L25="","",SUM(L$6:L25))</f>
        <v>0</v>
      </c>
      <c r="M144">
        <f>IF(M25="","",SUM(M$6:M25))</f>
        <v>0</v>
      </c>
      <c r="N144">
        <f>IF(N25="","",SUM(N$6:N25))</f>
        <v>0</v>
      </c>
      <c r="O144">
        <f>IF(O25="","",SUM(O$6:O25))</f>
        <v>0</v>
      </c>
      <c r="P144">
        <f>IF(P25="","",SUM(P$6:P25))</f>
        <v>0</v>
      </c>
      <c r="Q144">
        <f>IF(Q25="","",SUM(Q$6:Q25))</f>
        <v>0</v>
      </c>
      <c r="R144">
        <f>IF(R25="","",SUM(R$6:R25))</f>
        <v>0</v>
      </c>
      <c r="S144">
        <f>IF(S25="","",SUM(S$6:S25))</f>
        <v>0</v>
      </c>
      <c r="T144">
        <f>IF(T25="","",SUM(T$6:T25))</f>
        <v>0</v>
      </c>
      <c r="U144">
        <f>IF(U25="","",SUM(U$6:U25))</f>
        <v>0</v>
      </c>
      <c r="V144">
        <f>IF(V25="","",SUM(V$6:V25))</f>
        <v>0</v>
      </c>
      <c r="W144">
        <f>IF(W25="","",SUM(W$6:W25))</f>
        <v>5</v>
      </c>
      <c r="X144">
        <f>IF(X25="","",SUM(X$6:X25))</f>
        <v>0</v>
      </c>
      <c r="Y144">
        <f>IF(Y25="","",SUM(Y$6:Y25))</f>
        <v>3</v>
      </c>
      <c r="Z144">
        <f>IF(Z25="","",SUM(Z$6:Z25))</f>
        <v>0</v>
      </c>
      <c r="AA144" t="str">
        <f>IF(AA25="","",SUM(AA$6:AA25))</f>
        <v/>
      </c>
      <c r="AB144">
        <f>IF(AB25="","",SUM(AB$6:AB25))</f>
        <v>7</v>
      </c>
      <c r="AC144">
        <f>IF(AC25="","",SUM(AC$6:AC25))</f>
        <v>0</v>
      </c>
      <c r="AD144">
        <f>IF(AD25="","",SUM(AD$6:AD25))</f>
        <v>1</v>
      </c>
      <c r="AE144">
        <f>IF(AE25="","",SUM(AE$6:AE25))</f>
        <v>0</v>
      </c>
      <c r="AF144" t="str">
        <f>IF(AF25="","",SUM(AF$6:AF25))</f>
        <v/>
      </c>
      <c r="AG144">
        <f>IF(AG25="","",SUM(AG$6:AG25))</f>
        <v>0</v>
      </c>
      <c r="AH144">
        <f>IF(AH25="","",SUM(AH$6:AH25))</f>
        <v>0</v>
      </c>
      <c r="AI144">
        <f>IF(AI25="","",SUM(AI$6:AI25))</f>
        <v>0</v>
      </c>
    </row>
    <row r="145" spans="1:35" x14ac:dyDescent="0.3">
      <c r="A145" s="3">
        <v>141</v>
      </c>
      <c r="B145" t="str">
        <f>IF(B26="","",SUM(B$6:B26))</f>
        <v/>
      </c>
      <c r="C145" t="str">
        <f>IF(C26="","",SUM(C$6:C26))</f>
        <v/>
      </c>
      <c r="D145">
        <f>IF(D26="","",SUM(D$6:D26))</f>
        <v>0</v>
      </c>
      <c r="E145">
        <f>IF(E26="","",SUM(E$6:E26))</f>
        <v>0</v>
      </c>
      <c r="F145">
        <f>IF(F26="","",SUM(F$6:F26))</f>
        <v>0</v>
      </c>
      <c r="G145" t="str">
        <f>IF(G26="","",SUM(G$6:G26))</f>
        <v/>
      </c>
      <c r="H145">
        <f>IF(H26="","",SUM(H$6:H26))</f>
        <v>0</v>
      </c>
      <c r="I145">
        <f>IF(I26="","",SUM(I$6:I26))</f>
        <v>0</v>
      </c>
      <c r="J145">
        <f>IF(J26="","",SUM(J$6:J26))</f>
        <v>0</v>
      </c>
      <c r="K145">
        <f>IF(K26="","",SUM(K$6:K26))</f>
        <v>0</v>
      </c>
      <c r="L145">
        <f>IF(L26="","",SUM(L$6:L26))</f>
        <v>0</v>
      </c>
      <c r="M145">
        <f>IF(M26="","",SUM(M$6:M26))</f>
        <v>0</v>
      </c>
      <c r="N145">
        <f>IF(N26="","",SUM(N$6:N26))</f>
        <v>0</v>
      </c>
      <c r="O145">
        <f>IF(O26="","",SUM(O$6:O26))</f>
        <v>0</v>
      </c>
      <c r="P145">
        <f>IF(P26="","",SUM(P$6:P26))</f>
        <v>0</v>
      </c>
      <c r="Q145">
        <f>IF(Q26="","",SUM(Q$6:Q26))</f>
        <v>0</v>
      </c>
      <c r="R145">
        <f>IF(R26="","",SUM(R$6:R26))</f>
        <v>0</v>
      </c>
      <c r="S145">
        <f>IF(S26="","",SUM(S$6:S26))</f>
        <v>0</v>
      </c>
      <c r="T145">
        <f>IF(T26="","",SUM(T$6:T26))</f>
        <v>0</v>
      </c>
      <c r="U145">
        <f>IF(U26="","",SUM(U$6:U26))</f>
        <v>0</v>
      </c>
      <c r="V145">
        <f>IF(V26="","",SUM(V$6:V26))</f>
        <v>0</v>
      </c>
      <c r="W145">
        <f>IF(W26="","",SUM(W$6:W26))</f>
        <v>5</v>
      </c>
      <c r="X145">
        <f>IF(X26="","",SUM(X$6:X26))</f>
        <v>0</v>
      </c>
      <c r="Y145">
        <f>IF(Y26="","",SUM(Y$6:Y26))</f>
        <v>3</v>
      </c>
      <c r="Z145">
        <f>IF(Z26="","",SUM(Z$6:Z26))</f>
        <v>0</v>
      </c>
      <c r="AA145" t="str">
        <f>IF(AA26="","",SUM(AA$6:AA26))</f>
        <v/>
      </c>
      <c r="AB145">
        <f>IF(AB26="","",SUM(AB$6:AB26))</f>
        <v>11</v>
      </c>
      <c r="AC145">
        <f>IF(AC26="","",SUM(AC$6:AC26))</f>
        <v>0</v>
      </c>
      <c r="AD145">
        <f>IF(AD26="","",SUM(AD$6:AD26))</f>
        <v>1</v>
      </c>
      <c r="AE145">
        <f>IF(AE26="","",SUM(AE$6:AE26))</f>
        <v>0</v>
      </c>
      <c r="AF145" t="str">
        <f>IF(AF26="","",SUM(AF$6:AF26))</f>
        <v/>
      </c>
      <c r="AG145">
        <f>IF(AG26="","",SUM(AG$6:AG26))</f>
        <v>0</v>
      </c>
      <c r="AH145">
        <f>IF(AH26="","",SUM(AH$6:AH26))</f>
        <v>0</v>
      </c>
      <c r="AI145">
        <f>IF(AI26="","",SUM(AI$6:AI26))</f>
        <v>0</v>
      </c>
    </row>
    <row r="146" spans="1:35" x14ac:dyDescent="0.3">
      <c r="A146" s="3">
        <v>142</v>
      </c>
      <c r="B146" t="str">
        <f>IF(B27="","",SUM(B$6:B27))</f>
        <v/>
      </c>
      <c r="C146" t="str">
        <f>IF(C27="","",SUM(C$6:C27))</f>
        <v/>
      </c>
      <c r="D146">
        <f>IF(D27="","",SUM(D$6:D27))</f>
        <v>0</v>
      </c>
      <c r="E146">
        <f>IF(E27="","",SUM(E$6:E27))</f>
        <v>0</v>
      </c>
      <c r="F146">
        <f>IF(F27="","",SUM(F$6:F27))</f>
        <v>0</v>
      </c>
      <c r="G146" t="str">
        <f>IF(G27="","",SUM(G$6:G27))</f>
        <v/>
      </c>
      <c r="H146">
        <f>IF(H27="","",SUM(H$6:H27))</f>
        <v>0</v>
      </c>
      <c r="I146">
        <f>IF(I27="","",SUM(I$6:I27))</f>
        <v>0</v>
      </c>
      <c r="J146">
        <f>IF(J27="","",SUM(J$6:J27))</f>
        <v>0</v>
      </c>
      <c r="K146">
        <f>IF(K27="","",SUM(K$6:K27))</f>
        <v>0</v>
      </c>
      <c r="L146">
        <f>IF(L27="","",SUM(L$6:L27))</f>
        <v>0</v>
      </c>
      <c r="M146">
        <f>IF(M27="","",SUM(M$6:M27))</f>
        <v>0</v>
      </c>
      <c r="N146">
        <f>IF(N27="","",SUM(N$6:N27))</f>
        <v>0</v>
      </c>
      <c r="O146">
        <f>IF(O27="","",SUM(O$6:O27))</f>
        <v>0</v>
      </c>
      <c r="P146">
        <f>IF(P27="","",SUM(P$6:P27))</f>
        <v>0</v>
      </c>
      <c r="Q146">
        <f>IF(Q27="","",SUM(Q$6:Q27))</f>
        <v>0</v>
      </c>
      <c r="R146">
        <f>IF(R27="","",SUM(R$6:R27))</f>
        <v>0</v>
      </c>
      <c r="S146">
        <f>IF(S27="","",SUM(S$6:S27))</f>
        <v>0</v>
      </c>
      <c r="T146">
        <f>IF(T27="","",SUM(T$6:T27))</f>
        <v>0</v>
      </c>
      <c r="U146">
        <f>IF(U27="","",SUM(U$6:U27))</f>
        <v>0</v>
      </c>
      <c r="V146">
        <f>IF(V27="","",SUM(V$6:V27))</f>
        <v>0</v>
      </c>
      <c r="W146">
        <f>IF(W27="","",SUM(W$6:W27))</f>
        <v>5</v>
      </c>
      <c r="X146">
        <f>IF(X27="","",SUM(X$6:X27))</f>
        <v>0</v>
      </c>
      <c r="Y146">
        <f>IF(Y27="","",SUM(Y$6:Y27))</f>
        <v>3</v>
      </c>
      <c r="Z146">
        <f>IF(Z27="","",SUM(Z$6:Z27))</f>
        <v>0</v>
      </c>
      <c r="AA146" t="str">
        <f>IF(AA27="","",SUM(AA$6:AA27))</f>
        <v/>
      </c>
      <c r="AB146">
        <f>IF(AB27="","",SUM(AB$6:AB27))</f>
        <v>11</v>
      </c>
      <c r="AC146">
        <f>IF(AC27="","",SUM(AC$6:AC27))</f>
        <v>2</v>
      </c>
      <c r="AD146">
        <f>IF(AD27="","",SUM(AD$6:AD27))</f>
        <v>1</v>
      </c>
      <c r="AE146">
        <f>IF(AE27="","",SUM(AE$6:AE27))</f>
        <v>0</v>
      </c>
      <c r="AF146" t="str">
        <f>IF(AF27="","",SUM(AF$6:AF27))</f>
        <v/>
      </c>
      <c r="AG146">
        <f>IF(AG27="","",SUM(AG$6:AG27))</f>
        <v>0</v>
      </c>
      <c r="AH146">
        <f>IF(AH27="","",SUM(AH$6:AH27))</f>
        <v>0</v>
      </c>
      <c r="AI146">
        <f>IF(AI27="","",SUM(AI$6:AI27))</f>
        <v>0</v>
      </c>
    </row>
    <row r="147" spans="1:35" x14ac:dyDescent="0.3">
      <c r="A147" s="3">
        <v>143</v>
      </c>
      <c r="B147" t="str">
        <f>IF(B28="","",SUM(B$6:B28))</f>
        <v/>
      </c>
      <c r="C147" t="str">
        <f>IF(C28="","",SUM(C$6:C28))</f>
        <v/>
      </c>
      <c r="D147">
        <f>IF(D28="","",SUM(D$6:D28))</f>
        <v>0</v>
      </c>
      <c r="E147">
        <f>IF(E28="","",SUM(E$6:E28))</f>
        <v>0</v>
      </c>
      <c r="F147">
        <f>IF(F28="","",SUM(F$6:F28))</f>
        <v>0</v>
      </c>
      <c r="G147" t="str">
        <f>IF(G28="","",SUM(G$6:G28))</f>
        <v/>
      </c>
      <c r="H147">
        <f>IF(H28="","",SUM(H$6:H28))</f>
        <v>0</v>
      </c>
      <c r="I147">
        <f>IF(I28="","",SUM(I$6:I28))</f>
        <v>0</v>
      </c>
      <c r="J147">
        <f>IF(J28="","",SUM(J$6:J28))</f>
        <v>0</v>
      </c>
      <c r="K147">
        <f>IF(K28="","",SUM(K$6:K28))</f>
        <v>0</v>
      </c>
      <c r="L147">
        <f>IF(L28="","",SUM(L$6:L28))</f>
        <v>0</v>
      </c>
      <c r="M147">
        <f>IF(M28="","",SUM(M$6:M28))</f>
        <v>0</v>
      </c>
      <c r="N147">
        <f>IF(N28="","",SUM(N$6:N28))</f>
        <v>0</v>
      </c>
      <c r="O147">
        <f>IF(O28="","",SUM(O$6:O28))</f>
        <v>0</v>
      </c>
      <c r="P147">
        <f>IF(P28="","",SUM(P$6:P28))</f>
        <v>0</v>
      </c>
      <c r="Q147">
        <f>IF(Q28="","",SUM(Q$6:Q28))</f>
        <v>0</v>
      </c>
      <c r="R147">
        <f>IF(R28="","",SUM(R$6:R28))</f>
        <v>0</v>
      </c>
      <c r="S147">
        <f>IF(S28="","",SUM(S$6:S28))</f>
        <v>0</v>
      </c>
      <c r="T147">
        <f>IF(T28="","",SUM(T$6:T28))</f>
        <v>0</v>
      </c>
      <c r="U147">
        <f>IF(U28="","",SUM(U$6:U28))</f>
        <v>0</v>
      </c>
      <c r="V147">
        <f>IF(V28="","",SUM(V$6:V28))</f>
        <v>0</v>
      </c>
      <c r="W147">
        <f>IF(W28="","",SUM(W$6:W28))</f>
        <v>5</v>
      </c>
      <c r="X147">
        <f>IF(X28="","",SUM(X$6:X28))</f>
        <v>0</v>
      </c>
      <c r="Y147">
        <f>IF(Y28="","",SUM(Y$6:Y28))</f>
        <v>3</v>
      </c>
      <c r="Z147">
        <f>IF(Z28="","",SUM(Z$6:Z28))</f>
        <v>0</v>
      </c>
      <c r="AA147">
        <f>IF(AA28="","",SUM(AA$6:AA28))</f>
        <v>0</v>
      </c>
      <c r="AB147">
        <f>IF(AB28="","",SUM(AB$6:AB28))</f>
        <v>11</v>
      </c>
      <c r="AC147">
        <f>IF(AC28="","",SUM(AC$6:AC28))</f>
        <v>2</v>
      </c>
      <c r="AD147">
        <f>IF(AD28="","",SUM(AD$6:AD28))</f>
        <v>1</v>
      </c>
      <c r="AE147">
        <f>IF(AE28="","",SUM(AE$6:AE28))</f>
        <v>0</v>
      </c>
      <c r="AF147">
        <f>IF(AF28="","",SUM(AF$6:AF28))</f>
        <v>0</v>
      </c>
      <c r="AG147">
        <f>IF(AG28="","",SUM(AG$6:AG28))</f>
        <v>0</v>
      </c>
      <c r="AH147">
        <f>IF(AH28="","",SUM(AH$6:AH28))</f>
        <v>0</v>
      </c>
      <c r="AI147">
        <f>IF(AI28="","",SUM(AI$6:AI28))</f>
        <v>0</v>
      </c>
    </row>
    <row r="148" spans="1:35" x14ac:dyDescent="0.3">
      <c r="A148" s="3">
        <v>144</v>
      </c>
      <c r="B148" t="str">
        <f>IF(B29="","",SUM(B$6:B29))</f>
        <v/>
      </c>
      <c r="C148" t="str">
        <f>IF(C29="","",SUM(C$6:C29))</f>
        <v/>
      </c>
      <c r="D148">
        <f>IF(D29="","",SUM(D$6:D29))</f>
        <v>0</v>
      </c>
      <c r="E148">
        <f>IF(E29="","",SUM(E$6:E29))</f>
        <v>0</v>
      </c>
      <c r="F148">
        <f>IF(F29="","",SUM(F$6:F29))</f>
        <v>0</v>
      </c>
      <c r="G148" t="str">
        <f>IF(G29="","",SUM(G$6:G29))</f>
        <v/>
      </c>
      <c r="H148">
        <f>IF(H29="","",SUM(H$6:H29))</f>
        <v>0</v>
      </c>
      <c r="I148">
        <f>IF(I29="","",SUM(I$6:I29))</f>
        <v>0</v>
      </c>
      <c r="J148">
        <f>IF(J29="","",SUM(J$6:J29))</f>
        <v>0</v>
      </c>
      <c r="K148">
        <f>IF(K29="","",SUM(K$6:K29))</f>
        <v>0</v>
      </c>
      <c r="L148">
        <f>IF(L29="","",SUM(L$6:L29))</f>
        <v>0</v>
      </c>
      <c r="M148">
        <f>IF(M29="","",SUM(M$6:M29))</f>
        <v>0</v>
      </c>
      <c r="N148">
        <f>IF(N29="","",SUM(N$6:N29))</f>
        <v>0</v>
      </c>
      <c r="O148">
        <f>IF(O29="","",SUM(O$6:O29))</f>
        <v>0</v>
      </c>
      <c r="P148">
        <f>IF(P29="","",SUM(P$6:P29))</f>
        <v>0</v>
      </c>
      <c r="Q148">
        <f>IF(Q29="","",SUM(Q$6:Q29))</f>
        <v>0</v>
      </c>
      <c r="R148">
        <f>IF(R29="","",SUM(R$6:R29))</f>
        <v>0</v>
      </c>
      <c r="S148">
        <f>IF(S29="","",SUM(S$6:S29))</f>
        <v>0</v>
      </c>
      <c r="T148">
        <f>IF(T29="","",SUM(T$6:T29))</f>
        <v>0</v>
      </c>
      <c r="U148">
        <f>IF(U29="","",SUM(U$6:U29))</f>
        <v>0</v>
      </c>
      <c r="V148">
        <f>IF(V29="","",SUM(V$6:V29))</f>
        <v>0</v>
      </c>
      <c r="W148">
        <f>IF(W29="","",SUM(W$6:W29))</f>
        <v>5</v>
      </c>
      <c r="X148">
        <f>IF(X29="","",SUM(X$6:X29))</f>
        <v>0</v>
      </c>
      <c r="Y148">
        <f>IF(Y29="","",SUM(Y$6:Y29))</f>
        <v>3</v>
      </c>
      <c r="Z148">
        <f>IF(Z29="","",SUM(Z$6:Z29))</f>
        <v>0</v>
      </c>
      <c r="AA148">
        <f>IF(AA29="","",SUM(AA$6:AA29))</f>
        <v>0</v>
      </c>
      <c r="AB148">
        <f>IF(AB29="","",SUM(AB$6:AB29))</f>
        <v>11</v>
      </c>
      <c r="AC148">
        <f>IF(AC29="","",SUM(AC$6:AC29))</f>
        <v>3</v>
      </c>
      <c r="AD148">
        <f>IF(AD29="","",SUM(AD$6:AD29))</f>
        <v>1</v>
      </c>
      <c r="AE148">
        <f>IF(AE29="","",SUM(AE$6:AE29))</f>
        <v>0</v>
      </c>
      <c r="AF148">
        <f>IF(AF29="","",SUM(AF$6:AF29))</f>
        <v>0</v>
      </c>
      <c r="AG148">
        <f>IF(AG29="","",SUM(AG$6:AG29))</f>
        <v>0</v>
      </c>
      <c r="AH148">
        <f>IF(AH29="","",SUM(AH$6:AH29))</f>
        <v>0</v>
      </c>
      <c r="AI148">
        <f>IF(AI29="","",SUM(AI$6:AI29))</f>
        <v>0</v>
      </c>
    </row>
    <row r="149" spans="1:35" x14ac:dyDescent="0.3">
      <c r="A149" s="3">
        <v>145</v>
      </c>
      <c r="B149" t="str">
        <f>IF(B30="","",SUM(B$6:B30))</f>
        <v/>
      </c>
      <c r="C149" t="str">
        <f>IF(C30="","",SUM(C$6:C30))</f>
        <v/>
      </c>
      <c r="D149">
        <f>IF(D30="","",SUM(D$6:D30))</f>
        <v>0</v>
      </c>
      <c r="E149">
        <f>IF(E30="","",SUM(E$6:E30))</f>
        <v>0</v>
      </c>
      <c r="F149">
        <f>IF(F30="","",SUM(F$6:F30))</f>
        <v>0</v>
      </c>
      <c r="G149" t="str">
        <f>IF(G30="","",SUM(G$6:G30))</f>
        <v/>
      </c>
      <c r="H149">
        <f>IF(H30="","",SUM(H$6:H30))</f>
        <v>0</v>
      </c>
      <c r="I149">
        <f>IF(I30="","",SUM(I$6:I30))</f>
        <v>0</v>
      </c>
      <c r="J149">
        <f>IF(J30="","",SUM(J$6:J30))</f>
        <v>0</v>
      </c>
      <c r="K149">
        <f>IF(K30="","",SUM(K$6:K30))</f>
        <v>0</v>
      </c>
      <c r="L149">
        <f>IF(L30="","",SUM(L$6:L30))</f>
        <v>3</v>
      </c>
      <c r="M149">
        <f>IF(M30="","",SUM(M$6:M30))</f>
        <v>0</v>
      </c>
      <c r="N149">
        <f>IF(N30="","",SUM(N$6:N30))</f>
        <v>0</v>
      </c>
      <c r="O149">
        <f>IF(O30="","",SUM(O$6:O30))</f>
        <v>3</v>
      </c>
      <c r="P149">
        <f>IF(P30="","",SUM(P$6:P30))</f>
        <v>0</v>
      </c>
      <c r="Q149">
        <f>IF(Q30="","",SUM(Q$6:Q30))</f>
        <v>0</v>
      </c>
      <c r="R149">
        <f>IF(R30="","",SUM(R$6:R30))</f>
        <v>0</v>
      </c>
      <c r="S149">
        <f>IF(S30="","",SUM(S$6:S30))</f>
        <v>154</v>
      </c>
      <c r="T149">
        <f>IF(T30="","",SUM(T$6:T30))</f>
        <v>0</v>
      </c>
      <c r="U149">
        <f>IF(U30="","",SUM(U$6:U30))</f>
        <v>0</v>
      </c>
      <c r="V149">
        <f>IF(V30="","",SUM(V$6:V30))</f>
        <v>0</v>
      </c>
      <c r="W149">
        <f>IF(W30="","",SUM(W$6:W30))</f>
        <v>5</v>
      </c>
      <c r="X149">
        <f>IF(X30="","",SUM(X$6:X30))</f>
        <v>0</v>
      </c>
      <c r="Y149">
        <f>IF(Y30="","",SUM(Y$6:Y30))</f>
        <v>3</v>
      </c>
      <c r="Z149">
        <f>IF(Z30="","",SUM(Z$6:Z30))</f>
        <v>0</v>
      </c>
      <c r="AA149">
        <f>IF(AA30="","",SUM(AA$6:AA30))</f>
        <v>0</v>
      </c>
      <c r="AB149">
        <f>IF(AB30="","",SUM(AB$6:AB30))</f>
        <v>11</v>
      </c>
      <c r="AC149">
        <f>IF(AC30="","",SUM(AC$6:AC30))</f>
        <v>3</v>
      </c>
      <c r="AD149">
        <f>IF(AD30="","",SUM(AD$6:AD30))</f>
        <v>1</v>
      </c>
      <c r="AE149">
        <f>IF(AE30="","",SUM(AE$6:AE30))</f>
        <v>3</v>
      </c>
      <c r="AF149">
        <f>IF(AF30="","",SUM(AF$6:AF30))</f>
        <v>0</v>
      </c>
      <c r="AG149">
        <f>IF(AG30="","",SUM(AG$6:AG30))</f>
        <v>0</v>
      </c>
      <c r="AH149">
        <f>IF(AH30="","",SUM(AH$6:AH30))</f>
        <v>0</v>
      </c>
      <c r="AI149">
        <f>IF(AI30="","",SUM(AI$6:AI30))</f>
        <v>0</v>
      </c>
    </row>
    <row r="150" spans="1:35" x14ac:dyDescent="0.3">
      <c r="A150" s="3">
        <v>146</v>
      </c>
      <c r="B150" t="str">
        <f>IF(B31="","",SUM(B$6:B31))</f>
        <v/>
      </c>
      <c r="C150">
        <f>IF(C31="","",SUM(C$6:C31))</f>
        <v>0</v>
      </c>
      <c r="D150">
        <f>IF(D31="","",SUM(D$6:D31))</f>
        <v>0</v>
      </c>
      <c r="E150">
        <f>IF(E31="","",SUM(E$6:E31))</f>
        <v>0</v>
      </c>
      <c r="F150">
        <f>IF(F31="","",SUM(F$6:F31))</f>
        <v>0</v>
      </c>
      <c r="G150" t="str">
        <f>IF(G31="","",SUM(G$6:G31))</f>
        <v/>
      </c>
      <c r="H150">
        <f>IF(H31="","",SUM(H$6:H31))</f>
        <v>0</v>
      </c>
      <c r="I150">
        <f>IF(I31="","",SUM(I$6:I31))</f>
        <v>0</v>
      </c>
      <c r="J150">
        <f>IF(J31="","",SUM(J$6:J31))</f>
        <v>0</v>
      </c>
      <c r="K150">
        <f>IF(K31="","",SUM(K$6:K31))</f>
        <v>0</v>
      </c>
      <c r="L150">
        <f>IF(L31="","",SUM(L$6:L31))</f>
        <v>11</v>
      </c>
      <c r="M150">
        <f>IF(M31="","",SUM(M$6:M31))</f>
        <v>0</v>
      </c>
      <c r="N150">
        <f>IF(N31="","",SUM(N$6:N31))</f>
        <v>0</v>
      </c>
      <c r="O150">
        <f>IF(O31="","",SUM(O$6:O31))</f>
        <v>5</v>
      </c>
      <c r="P150">
        <f>IF(P31="","",SUM(P$6:P31))</f>
        <v>0</v>
      </c>
      <c r="Q150">
        <f>IF(Q31="","",SUM(Q$6:Q31))</f>
        <v>0</v>
      </c>
      <c r="R150">
        <f>IF(R31="","",SUM(R$6:R31))</f>
        <v>0</v>
      </c>
      <c r="S150">
        <f>IF(S31="","",SUM(S$6:S31))</f>
        <v>211</v>
      </c>
      <c r="T150">
        <f>IF(T31="","",SUM(T$6:T31))</f>
        <v>0</v>
      </c>
      <c r="U150">
        <f>IF(U31="","",SUM(U$6:U31))</f>
        <v>0</v>
      </c>
      <c r="V150">
        <f>IF(V31="","",SUM(V$6:V31))</f>
        <v>0</v>
      </c>
      <c r="W150">
        <f>IF(W31="","",SUM(W$6:W31))</f>
        <v>5</v>
      </c>
      <c r="X150">
        <f>IF(X31="","",SUM(X$6:X31))</f>
        <v>0</v>
      </c>
      <c r="Y150">
        <f>IF(Y31="","",SUM(Y$6:Y31))</f>
        <v>3</v>
      </c>
      <c r="Z150">
        <f>IF(Z31="","",SUM(Z$6:Z31))</f>
        <v>0</v>
      </c>
      <c r="AA150">
        <f>IF(AA31="","",SUM(AA$6:AA31))</f>
        <v>5</v>
      </c>
      <c r="AB150">
        <f>IF(AB31="","",SUM(AB$6:AB31))</f>
        <v>11</v>
      </c>
      <c r="AC150">
        <f>IF(AC31="","",SUM(AC$6:AC31))</f>
        <v>6</v>
      </c>
      <c r="AD150">
        <f>IF(AD31="","",SUM(AD$6:AD31))</f>
        <v>1</v>
      </c>
      <c r="AE150">
        <f>IF(AE31="","",SUM(AE$6:AE31))</f>
        <v>94</v>
      </c>
      <c r="AF150">
        <f>IF(AF31="","",SUM(AF$6:AF31))</f>
        <v>0</v>
      </c>
      <c r="AG150">
        <f>IF(AG31="","",SUM(AG$6:AG31))</f>
        <v>0</v>
      </c>
      <c r="AH150">
        <f>IF(AH31="","",SUM(AH$6:AH31))</f>
        <v>0</v>
      </c>
      <c r="AI150">
        <f>IF(AI31="","",SUM(AI$6:AI31))</f>
        <v>0</v>
      </c>
    </row>
    <row r="151" spans="1:35" x14ac:dyDescent="0.3">
      <c r="A151" s="3">
        <v>147</v>
      </c>
      <c r="B151" t="str">
        <f>IF(B32="","",SUM(B$6:B32))</f>
        <v/>
      </c>
      <c r="C151">
        <f>IF(C32="","",SUM(C$6:C32))</f>
        <v>0</v>
      </c>
      <c r="D151">
        <f>IF(D32="","",SUM(D$6:D32))</f>
        <v>0</v>
      </c>
      <c r="E151">
        <f>IF(E32="","",SUM(E$6:E32))</f>
        <v>0</v>
      </c>
      <c r="F151">
        <f>IF(F32="","",SUM(F$6:F32))</f>
        <v>0</v>
      </c>
      <c r="G151" t="str">
        <f>IF(G32="","",SUM(G$6:G32))</f>
        <v/>
      </c>
      <c r="H151">
        <f>IF(H32="","",SUM(H$6:H32))</f>
        <v>0</v>
      </c>
      <c r="I151">
        <f>IF(I32="","",SUM(I$6:I32))</f>
        <v>0</v>
      </c>
      <c r="J151">
        <f>IF(J32="","",SUM(J$6:J32))</f>
        <v>0</v>
      </c>
      <c r="K151">
        <f>IF(K32="","",SUM(K$6:K32))</f>
        <v>0</v>
      </c>
      <c r="L151">
        <f>IF(L32="","",SUM(L$6:L32))</f>
        <v>11</v>
      </c>
      <c r="M151">
        <f>IF(M32="","",SUM(M$6:M32))</f>
        <v>0</v>
      </c>
      <c r="N151">
        <f>IF(N32="","",SUM(N$6:N32))</f>
        <v>0</v>
      </c>
      <c r="O151">
        <f>IF(O32="","",SUM(O$6:O32))</f>
        <v>16</v>
      </c>
      <c r="P151">
        <f>IF(P32="","",SUM(P$6:P32))</f>
        <v>2</v>
      </c>
      <c r="Q151">
        <f>IF(Q32="","",SUM(Q$6:Q32))</f>
        <v>3</v>
      </c>
      <c r="R151">
        <f>IF(R32="","",SUM(R$6:R32))</f>
        <v>0</v>
      </c>
      <c r="S151">
        <f>IF(S32="","",SUM(S$6:S32))</f>
        <v>1239</v>
      </c>
      <c r="T151">
        <f>IF(T32="","",SUM(T$6:T32))</f>
        <v>0</v>
      </c>
      <c r="U151">
        <f>IF(U32="","",SUM(U$6:U32))</f>
        <v>0</v>
      </c>
      <c r="V151">
        <f>IF(V32="","",SUM(V$6:V32))</f>
        <v>0</v>
      </c>
      <c r="W151">
        <f>IF(W32="","",SUM(W$6:W32))</f>
        <v>5</v>
      </c>
      <c r="X151">
        <f>IF(X32="","",SUM(X$6:X32))</f>
        <v>0</v>
      </c>
      <c r="Y151">
        <f>IF(Y32="","",SUM(Y$6:Y32))</f>
        <v>6</v>
      </c>
      <c r="Z151">
        <f>IF(Z32="","",SUM(Z$6:Z32))</f>
        <v>0</v>
      </c>
      <c r="AA151">
        <f>IF(AA32="","",SUM(AA$6:AA32))</f>
        <v>5</v>
      </c>
      <c r="AB151">
        <f>IF(AB32="","",SUM(AB$6:AB32))</f>
        <v>11</v>
      </c>
      <c r="AC151">
        <f>IF(AC32="","",SUM(AC$6:AC32))</f>
        <v>14</v>
      </c>
      <c r="AD151">
        <f>IF(AD32="","",SUM(AD$6:AD32))</f>
        <v>1</v>
      </c>
      <c r="AE151">
        <f>IF(AE32="","",SUM(AE$6:AE32))</f>
        <v>113</v>
      </c>
      <c r="AF151">
        <f>IF(AF32="","",SUM(AF$6:AF32))</f>
        <v>0</v>
      </c>
      <c r="AG151">
        <f>IF(AG32="","",SUM(AG$6:AG32))</f>
        <v>0</v>
      </c>
      <c r="AH151">
        <f>IF(AH32="","",SUM(AH$6:AH32))</f>
        <v>0</v>
      </c>
      <c r="AI151">
        <f>IF(AI32="","",SUM(AI$6:AI32))</f>
        <v>0</v>
      </c>
    </row>
    <row r="152" spans="1:35" x14ac:dyDescent="0.3">
      <c r="A152" s="3">
        <v>148</v>
      </c>
      <c r="B152" t="str">
        <f>IF(B33="","",SUM(B$6:B33))</f>
        <v/>
      </c>
      <c r="C152">
        <f>IF(C33="","",SUM(C$6:C33))</f>
        <v>0</v>
      </c>
      <c r="D152">
        <f>IF(D33="","",SUM(D$6:D33))</f>
        <v>0</v>
      </c>
      <c r="E152">
        <f>IF(E33="","",SUM(E$6:E33))</f>
        <v>0</v>
      </c>
      <c r="F152">
        <f>IF(F33="","",SUM(F$6:F33))</f>
        <v>0</v>
      </c>
      <c r="G152" t="str">
        <f>IF(G33="","",SUM(G$6:G33))</f>
        <v/>
      </c>
      <c r="H152">
        <f>IF(H33="","",SUM(H$6:H33))</f>
        <v>0</v>
      </c>
      <c r="I152">
        <f>IF(I33="","",SUM(I$6:I33))</f>
        <v>1</v>
      </c>
      <c r="J152">
        <f>IF(J33="","",SUM(J$6:J33))</f>
        <v>0</v>
      </c>
      <c r="K152">
        <f>IF(K33="","",SUM(K$6:K33))</f>
        <v>0</v>
      </c>
      <c r="L152">
        <f>IF(L33="","",SUM(L$6:L33))</f>
        <v>11</v>
      </c>
      <c r="M152">
        <f>IF(M33="","",SUM(M$6:M33))</f>
        <v>0</v>
      </c>
      <c r="N152">
        <f>IF(N33="","",SUM(N$6:N33))</f>
        <v>0</v>
      </c>
      <c r="O152">
        <f>IF(O33="","",SUM(O$6:O33))</f>
        <v>16</v>
      </c>
      <c r="P152">
        <f>IF(P33="","",SUM(P$6:P33))</f>
        <v>4</v>
      </c>
      <c r="Q152">
        <f>IF(Q33="","",SUM(Q$6:Q33))</f>
        <v>12</v>
      </c>
      <c r="R152">
        <f>IF(R33="","",SUM(R$6:R33))</f>
        <v>0</v>
      </c>
      <c r="S152">
        <f>IF(S33="","",SUM(S$6:S33))</f>
        <v>1340</v>
      </c>
      <c r="T152">
        <f>IF(T33="","",SUM(T$6:T33))</f>
        <v>0</v>
      </c>
      <c r="U152">
        <f>IF(U33="","",SUM(U$6:U33))</f>
        <v>0</v>
      </c>
      <c r="V152">
        <f>IF(V33="","",SUM(V$6:V33))</f>
        <v>0</v>
      </c>
      <c r="W152">
        <f>IF(W33="","",SUM(W$6:W33))</f>
        <v>5</v>
      </c>
      <c r="X152">
        <f>IF(X33="","",SUM(X$6:X33))</f>
        <v>0</v>
      </c>
      <c r="Y152">
        <f>IF(Y33="","",SUM(Y$6:Y33))</f>
        <v>13</v>
      </c>
      <c r="Z152">
        <f>IF(Z33="","",SUM(Z$6:Z33))</f>
        <v>0</v>
      </c>
      <c r="AA152">
        <f>IF(AA33="","",SUM(AA$6:AA33))</f>
        <v>5</v>
      </c>
      <c r="AB152">
        <f>IF(AB33="","",SUM(AB$6:AB33))</f>
        <v>12</v>
      </c>
      <c r="AC152">
        <f>IF(AC33="","",SUM(AC$6:AC33))</f>
        <v>19</v>
      </c>
      <c r="AD152">
        <f>IF(AD33="","",SUM(AD$6:AD33))</f>
        <v>1</v>
      </c>
      <c r="AE152">
        <f>IF(AE33="","",SUM(AE$6:AE33))</f>
        <v>314</v>
      </c>
      <c r="AF152">
        <f>IF(AF33="","",SUM(AF$6:AF33))</f>
        <v>0</v>
      </c>
      <c r="AG152">
        <f>IF(AG33="","",SUM(AG$6:AG33))</f>
        <v>0</v>
      </c>
      <c r="AH152">
        <f>IF(AH33="","",SUM(AH$6:AH33))</f>
        <v>0</v>
      </c>
      <c r="AI152">
        <f>IF(AI33="","",SUM(AI$6:AI33))</f>
        <v>5</v>
      </c>
    </row>
    <row r="153" spans="1:35" x14ac:dyDescent="0.3">
      <c r="A153" s="3">
        <v>149</v>
      </c>
      <c r="B153" t="str">
        <f>IF(B34="","",SUM(B$6:B34))</f>
        <v/>
      </c>
      <c r="C153">
        <f>IF(C34="","",SUM(C$6:C34))</f>
        <v>0</v>
      </c>
      <c r="D153">
        <f>IF(D34="","",SUM(D$6:D34))</f>
        <v>0</v>
      </c>
      <c r="E153">
        <f>IF(E34="","",SUM(E$6:E34))</f>
        <v>0</v>
      </c>
      <c r="F153">
        <f>IF(F34="","",SUM(F$6:F34))</f>
        <v>4</v>
      </c>
      <c r="G153" t="str">
        <f>IF(G34="","",SUM(G$6:G34))</f>
        <v/>
      </c>
      <c r="H153">
        <f>IF(H34="","",SUM(H$6:H34))</f>
        <v>0</v>
      </c>
      <c r="I153">
        <f>IF(I34="","",SUM(I$6:I34))</f>
        <v>1</v>
      </c>
      <c r="J153">
        <f>IF(J34="","",SUM(J$6:J34))</f>
        <v>0</v>
      </c>
      <c r="K153">
        <f>IF(K34="","",SUM(K$6:K34))</f>
        <v>0</v>
      </c>
      <c r="L153">
        <f>IF(L34="","",SUM(L$6:L34))</f>
        <v>11</v>
      </c>
      <c r="M153">
        <f>IF(M34="","",SUM(M$6:M34))</f>
        <v>0</v>
      </c>
      <c r="N153">
        <f>IF(N34="","",SUM(N$6:N34))</f>
        <v>0</v>
      </c>
      <c r="O153">
        <f>IF(O34="","",SUM(O$6:O34))</f>
        <v>22</v>
      </c>
      <c r="P153">
        <f>IF(P34="","",SUM(P$6:P34))</f>
        <v>4</v>
      </c>
      <c r="Q153">
        <f>IF(Q34="","",SUM(Q$6:Q34))</f>
        <v>12</v>
      </c>
      <c r="R153">
        <f>IF(R34="","",SUM(R$6:R34))</f>
        <v>0</v>
      </c>
      <c r="S153">
        <f>IF(S34="","",SUM(S$6:S34))</f>
        <v>2067</v>
      </c>
      <c r="T153">
        <f>IF(T34="","",SUM(T$6:T34))</f>
        <v>0</v>
      </c>
      <c r="U153">
        <f>IF(U34="","",SUM(U$6:U34))</f>
        <v>0</v>
      </c>
      <c r="V153">
        <f>IF(V34="","",SUM(V$6:V34))</f>
        <v>0</v>
      </c>
      <c r="W153">
        <f>IF(W34="","",SUM(W$6:W34))</f>
        <v>5</v>
      </c>
      <c r="X153">
        <f>IF(X34="","",SUM(X$6:X34))</f>
        <v>1</v>
      </c>
      <c r="Y153">
        <f>IF(Y34="","",SUM(Y$6:Y34))</f>
        <v>13</v>
      </c>
      <c r="Z153">
        <f>IF(Z34="","",SUM(Z$6:Z34))</f>
        <v>0</v>
      </c>
      <c r="AA153">
        <f>IF(AA34="","",SUM(AA$6:AA34))</f>
        <v>16</v>
      </c>
      <c r="AB153">
        <f>IF(AB34="","",SUM(AB$6:AB34))</f>
        <v>12</v>
      </c>
      <c r="AC153">
        <f>IF(AC34="","",SUM(AC$6:AC34))</f>
        <v>22</v>
      </c>
      <c r="AD153">
        <f>IF(AD34="","",SUM(AD$6:AD34))</f>
        <v>1</v>
      </c>
      <c r="AE153">
        <f>IF(AE34="","",SUM(AE$6:AE34))</f>
        <v>315</v>
      </c>
      <c r="AF153">
        <f>IF(AF34="","",SUM(AF$6:AF34))</f>
        <v>0</v>
      </c>
      <c r="AG153">
        <f>IF(AG34="","",SUM(AG$6:AG34))</f>
        <v>0</v>
      </c>
      <c r="AH153">
        <f>IF(AH34="","",SUM(AH$6:AH34))</f>
        <v>0</v>
      </c>
      <c r="AI153">
        <f>IF(AI34="","",SUM(AI$6:AI34))</f>
        <v>5</v>
      </c>
    </row>
    <row r="154" spans="1:35" x14ac:dyDescent="0.3">
      <c r="A154" s="3">
        <v>150</v>
      </c>
      <c r="B154" t="str">
        <f>IF(B35="","",SUM(B$6:B35))</f>
        <v/>
      </c>
      <c r="C154">
        <f>IF(C35="","",SUM(C$6:C35))</f>
        <v>0</v>
      </c>
      <c r="D154">
        <f>IF(D35="","",SUM(D$6:D35))</f>
        <v>0</v>
      </c>
      <c r="E154">
        <f>IF(E35="","",SUM(E$6:E35))</f>
        <v>0</v>
      </c>
      <c r="F154">
        <f>IF(F35="","",SUM(F$6:F35))</f>
        <v>9</v>
      </c>
      <c r="G154" t="str">
        <f>IF(G35="","",SUM(G$6:G35))</f>
        <v/>
      </c>
      <c r="H154">
        <f>IF(H35="","",SUM(H$6:H35))</f>
        <v>7</v>
      </c>
      <c r="I154">
        <f>IF(I35="","",SUM(I$6:I35))</f>
        <v>3</v>
      </c>
      <c r="J154">
        <f>IF(J35="","",SUM(J$6:J35))</f>
        <v>0</v>
      </c>
      <c r="K154">
        <f>IF(K35="","",SUM(K$6:K35))</f>
        <v>0</v>
      </c>
      <c r="L154">
        <f>IF(L35="","",SUM(L$6:L35))</f>
        <v>11</v>
      </c>
      <c r="M154">
        <f>IF(M35="","",SUM(M$6:M35))</f>
        <v>0</v>
      </c>
      <c r="N154">
        <f>IF(N35="","",SUM(N$6:N35))</f>
        <v>1</v>
      </c>
      <c r="O154">
        <f>IF(O35="","",SUM(O$6:O35))</f>
        <v>35</v>
      </c>
      <c r="P154">
        <f>IF(P35="","",SUM(P$6:P35))</f>
        <v>9</v>
      </c>
      <c r="Q154">
        <f>IF(Q35="","",SUM(Q$6:Q35))</f>
        <v>27</v>
      </c>
      <c r="R154">
        <f>IF(R35="","",SUM(R$6:R35))</f>
        <v>3</v>
      </c>
      <c r="S154">
        <f>IF(S35="","",SUM(S$6:S35))</f>
        <v>3013</v>
      </c>
      <c r="T154">
        <f>IF(T35="","",SUM(T$6:T35))</f>
        <v>0</v>
      </c>
      <c r="U154">
        <f>IF(U35="","",SUM(U$6:U35))</f>
        <v>1</v>
      </c>
      <c r="V154">
        <f>IF(V35="","",SUM(V$6:V35))</f>
        <v>0</v>
      </c>
      <c r="W154">
        <f>IF(W35="","",SUM(W$6:W35))</f>
        <v>5</v>
      </c>
      <c r="X154">
        <f>IF(X35="","",SUM(X$6:X35))</f>
        <v>1</v>
      </c>
      <c r="Y154">
        <f>IF(Y35="","",SUM(Y$6:Y35))</f>
        <v>13</v>
      </c>
      <c r="Z154">
        <f>IF(Z35="","",SUM(Z$6:Z35))</f>
        <v>0</v>
      </c>
      <c r="AA154">
        <f>IF(AA35="","",SUM(AA$6:AA35))</f>
        <v>441</v>
      </c>
      <c r="AB154">
        <f>IF(AB35="","",SUM(AB$6:AB35))</f>
        <v>12</v>
      </c>
      <c r="AC154">
        <f>IF(AC35="","",SUM(AC$6:AC35))</f>
        <v>25</v>
      </c>
      <c r="AD154">
        <f>IF(AD35="","",SUM(AD$6:AD35))</f>
        <v>1</v>
      </c>
      <c r="AE154">
        <f>IF(AE35="","",SUM(AE$6:AE35))</f>
        <v>322</v>
      </c>
      <c r="AF154">
        <f>IF(AF35="","",SUM(AF$6:AF35))</f>
        <v>1</v>
      </c>
      <c r="AG154">
        <f>IF(AG35="","",SUM(AG$6:AG35))</f>
        <v>0</v>
      </c>
      <c r="AH154">
        <f>IF(AH35="","",SUM(AH$6:AH35))</f>
        <v>0</v>
      </c>
      <c r="AI154">
        <f>IF(AI35="","",SUM(AI$6:AI35))</f>
        <v>5</v>
      </c>
    </row>
    <row r="155" spans="1:35" x14ac:dyDescent="0.3">
      <c r="A155" s="3">
        <v>151</v>
      </c>
      <c r="B155" t="str">
        <f>IF(B36="","",SUM(B$6:B36))</f>
        <v/>
      </c>
      <c r="C155">
        <f>IF(C36="","",SUM(C$6:C36))</f>
        <v>11</v>
      </c>
      <c r="D155">
        <f>IF(D36="","",SUM(D$6:D36))</f>
        <v>0</v>
      </c>
      <c r="E155">
        <f>IF(E36="","",SUM(E$6:E36))</f>
        <v>0</v>
      </c>
      <c r="F155">
        <f>IF(F36="","",SUM(F$6:F36))</f>
        <v>23</v>
      </c>
      <c r="G155" t="str">
        <f>IF(G36="","",SUM(G$6:G36))</f>
        <v/>
      </c>
      <c r="H155">
        <f>IF(H36="","",SUM(H$6:H36))</f>
        <v>21</v>
      </c>
      <c r="I155">
        <f>IF(I36="","",SUM(I$6:I36))</f>
        <v>3</v>
      </c>
      <c r="J155">
        <f>IF(J36="","",SUM(J$6:J36))</f>
        <v>0</v>
      </c>
      <c r="K155">
        <f>IF(K36="","",SUM(K$6:K36))</f>
        <v>0</v>
      </c>
      <c r="L155">
        <f>IF(L36="","",SUM(L$6:L36))</f>
        <v>21</v>
      </c>
      <c r="M155">
        <f>IF(M36="","",SUM(M$6:M36))</f>
        <v>0</v>
      </c>
      <c r="N155">
        <f>IF(N36="","",SUM(N$6:N36))</f>
        <v>2</v>
      </c>
      <c r="O155">
        <f>IF(O36="","",SUM(O$6:O36))</f>
        <v>35</v>
      </c>
      <c r="P155">
        <f>IF(P36="","",SUM(P$6:P36))</f>
        <v>28</v>
      </c>
      <c r="Q155">
        <f>IF(Q36="","",SUM(Q$6:Q36))</f>
        <v>35</v>
      </c>
      <c r="R155">
        <f>IF(R36="","",SUM(R$6:R36))</f>
        <v>7</v>
      </c>
      <c r="S155">
        <f>IF(S36="","",SUM(S$6:S36))</f>
        <v>3754</v>
      </c>
      <c r="T155">
        <f>IF(T36="","",SUM(T$6:T36))</f>
        <v>0</v>
      </c>
      <c r="U155">
        <f>IF(U36="","",SUM(U$6:U36))</f>
        <v>1</v>
      </c>
      <c r="V155">
        <f>IF(V36="","",SUM(V$6:V36))</f>
        <v>0</v>
      </c>
      <c r="W155">
        <f>IF(W36="","",SUM(W$6:W36))</f>
        <v>10</v>
      </c>
      <c r="X155">
        <f>IF(X36="","",SUM(X$6:X36))</f>
        <v>1</v>
      </c>
      <c r="Y155">
        <f>IF(Y36="","",SUM(Y$6:Y36))</f>
        <v>18</v>
      </c>
      <c r="Z155">
        <f>IF(Z36="","",SUM(Z$6:Z36))</f>
        <v>1</v>
      </c>
      <c r="AA155">
        <f>IF(AA36="","",SUM(AA$6:AA36))</f>
        <v>509</v>
      </c>
      <c r="AB155">
        <f>IF(AB36="","",SUM(AB$6:AB36))</f>
        <v>12</v>
      </c>
      <c r="AC155">
        <f>IF(AC36="","",SUM(AC$6:AC36))</f>
        <v>26</v>
      </c>
      <c r="AD155">
        <f>IF(AD36="","",SUM(AD$6:AD36))</f>
        <v>1</v>
      </c>
      <c r="AE155">
        <f>IF(AE36="","",SUM(AE$6:AE36))</f>
        <v>391</v>
      </c>
      <c r="AF155">
        <f>IF(AF36="","",SUM(AF$6:AF36))</f>
        <v>1</v>
      </c>
      <c r="AG155">
        <f>IF(AG36="","",SUM(AG$6:AG36))</f>
        <v>0</v>
      </c>
      <c r="AH155">
        <f>IF(AH36="","",SUM(AH$6:AH36))</f>
        <v>0</v>
      </c>
      <c r="AI155">
        <f>IF(AI36="","",SUM(AI$6:AI36))</f>
        <v>5</v>
      </c>
    </row>
    <row r="156" spans="1:35" x14ac:dyDescent="0.3">
      <c r="A156" s="3">
        <v>152</v>
      </c>
      <c r="B156" t="str">
        <f>IF(B37="","",SUM(B$6:B37))</f>
        <v/>
      </c>
      <c r="C156">
        <f>IF(C37="","",SUM(C$6:C37))</f>
        <v>16</v>
      </c>
      <c r="D156">
        <f>IF(D37="","",SUM(D$6:D37))</f>
        <v>5</v>
      </c>
      <c r="E156">
        <f>IF(E37="","",SUM(E$6:E37))</f>
        <v>0</v>
      </c>
      <c r="F156">
        <f>IF(F37="","",SUM(F$6:F37))</f>
        <v>25</v>
      </c>
      <c r="G156" t="str">
        <f>IF(G37="","",SUM(G$6:G37))</f>
        <v/>
      </c>
      <c r="H156">
        <f>IF(H37="","",SUM(H$6:H37))</f>
        <v>30</v>
      </c>
      <c r="I156">
        <f>IF(I37="","",SUM(I$6:I37))</f>
        <v>3</v>
      </c>
      <c r="J156">
        <f>IF(J37="","",SUM(J$6:J37))</f>
        <v>0</v>
      </c>
      <c r="K156">
        <f>IF(K37="","",SUM(K$6:K37))</f>
        <v>197</v>
      </c>
      <c r="L156">
        <f>IF(L37="","",SUM(L$6:L37))</f>
        <v>30</v>
      </c>
      <c r="M156">
        <f>IF(M37="","",SUM(M$6:M37))</f>
        <v>0</v>
      </c>
      <c r="N156">
        <f>IF(N37="","",SUM(N$6:N37))</f>
        <v>2</v>
      </c>
      <c r="O156">
        <f>IF(O37="","",SUM(O$6:O37))</f>
        <v>207</v>
      </c>
      <c r="P156">
        <f>IF(P37="","",SUM(P$6:P37))</f>
        <v>56</v>
      </c>
      <c r="Q156">
        <f>IF(Q37="","",SUM(Q$6:Q37))</f>
        <v>36</v>
      </c>
      <c r="R156">
        <f>IF(R37="","",SUM(R$6:R37))</f>
        <v>7</v>
      </c>
      <c r="S156">
        <f>IF(S37="","",SUM(S$6:S37))</f>
        <v>4826</v>
      </c>
      <c r="T156">
        <f>IF(T37="","",SUM(T$6:T37))</f>
        <v>0</v>
      </c>
      <c r="U156">
        <f>IF(U37="","",SUM(U$6:U37))</f>
        <v>1</v>
      </c>
      <c r="V156">
        <f>IF(V37="","",SUM(V$6:V37))</f>
        <v>0</v>
      </c>
      <c r="W156">
        <f>IF(W37="","",SUM(W$6:W37))</f>
        <v>1321</v>
      </c>
      <c r="X156">
        <f>IF(X37="","",SUM(X$6:X37))</f>
        <v>1</v>
      </c>
      <c r="Y156">
        <f>IF(Y37="","",SUM(Y$6:Y37))</f>
        <v>99</v>
      </c>
      <c r="Z156">
        <f>IF(Z37="","",SUM(Z$6:Z37))</f>
        <v>2</v>
      </c>
      <c r="AA156">
        <f>IF(AA37="","",SUM(AA$6:AA37))</f>
        <v>547</v>
      </c>
      <c r="AB156">
        <f>IF(AB37="","",SUM(AB$6:AB37))</f>
        <v>12</v>
      </c>
      <c r="AC156">
        <f>IF(AC37="","",SUM(AC$6:AC37))</f>
        <v>28</v>
      </c>
      <c r="AD156">
        <f>IF(AD37="","",SUM(AD$6:AD37))</f>
        <v>1</v>
      </c>
      <c r="AE156">
        <f>IF(AE37="","",SUM(AE$6:AE37))</f>
        <v>2110</v>
      </c>
      <c r="AF156">
        <f>IF(AF37="","",SUM(AF$6:AF37))</f>
        <v>1</v>
      </c>
      <c r="AG156">
        <f>IF(AG37="","",SUM(AG$6:AG37))</f>
        <v>1</v>
      </c>
      <c r="AH156">
        <f>IF(AH37="","",SUM(AH$6:AH37))</f>
        <v>0</v>
      </c>
      <c r="AI156">
        <f>IF(AI37="","",SUM(AI$6:AI37))</f>
        <v>5</v>
      </c>
    </row>
    <row r="157" spans="1:35" x14ac:dyDescent="0.3">
      <c r="A157" s="3">
        <v>153</v>
      </c>
      <c r="B157" t="str">
        <f>IF(B38="","",SUM(B$6:B38))</f>
        <v/>
      </c>
      <c r="C157">
        <f>IF(C38="","",SUM(C$6:C38))</f>
        <v>22</v>
      </c>
      <c r="D157">
        <f>IF(D38="","",SUM(D$6:D38))</f>
        <v>6</v>
      </c>
      <c r="E157">
        <f>IF(E38="","",SUM(E$6:E38))</f>
        <v>0</v>
      </c>
      <c r="F157">
        <f>IF(F38="","",SUM(F$6:F38))</f>
        <v>27</v>
      </c>
      <c r="G157" t="str">
        <f>IF(G38="","",SUM(G$6:G38))</f>
        <v/>
      </c>
      <c r="H157">
        <f>IF(H38="","",SUM(H$6:H38))</f>
        <v>47</v>
      </c>
      <c r="I157">
        <f>IF(I38="","",SUM(I$6:I38))</f>
        <v>3</v>
      </c>
      <c r="J157">
        <f>IF(J38="","",SUM(J$6:J38))</f>
        <v>0</v>
      </c>
      <c r="K157">
        <f>IF(K38="","",SUM(K$6:K38))</f>
        <v>541</v>
      </c>
      <c r="L157">
        <f>IF(L38="","",SUM(L$6:L38))</f>
        <v>53</v>
      </c>
      <c r="M157">
        <f>IF(M38="","",SUM(M$6:M38))</f>
        <v>3</v>
      </c>
      <c r="N157">
        <f>IF(N38="","",SUM(N$6:N38))</f>
        <v>2</v>
      </c>
      <c r="O157">
        <f>IF(O38="","",SUM(O$6:O38))</f>
        <v>212</v>
      </c>
      <c r="P157">
        <f>IF(P38="","",SUM(P$6:P38))</f>
        <v>113</v>
      </c>
      <c r="Q157">
        <f>IF(Q38="","",SUM(Q$6:Q38))</f>
        <v>336</v>
      </c>
      <c r="R157">
        <f>IF(R38="","",SUM(R$6:R38))</f>
        <v>14</v>
      </c>
      <c r="S157">
        <f>IF(S38="","",SUM(S$6:S38))</f>
        <v>5514</v>
      </c>
      <c r="T157">
        <f>IF(T38="","",SUM(T$6:T38))</f>
        <v>0</v>
      </c>
      <c r="U157">
        <f>IF(U38="","",SUM(U$6:U38))</f>
        <v>4</v>
      </c>
      <c r="V157">
        <f>IF(V38="","",SUM(V$6:V38))</f>
        <v>0</v>
      </c>
      <c r="W157">
        <f>IF(W38="","",SUM(W$6:W38))</f>
        <v>2147</v>
      </c>
      <c r="X157">
        <f>IF(X38="","",SUM(X$6:X38))</f>
        <v>3</v>
      </c>
      <c r="Y157">
        <f>IF(Y38="","",SUM(Y$6:Y38))</f>
        <v>100</v>
      </c>
      <c r="Z157">
        <f>IF(Z38="","",SUM(Z$6:Z38))</f>
        <v>3</v>
      </c>
      <c r="AA157">
        <f>IF(AA38="","",SUM(AA$6:AA38))</f>
        <v>812</v>
      </c>
      <c r="AB157">
        <f>IF(AB38="","",SUM(AB$6:AB38))</f>
        <v>12</v>
      </c>
      <c r="AC157">
        <f>IF(AC38="","",SUM(AC$6:AC38))</f>
        <v>28</v>
      </c>
      <c r="AD157">
        <f>IF(AD38="","",SUM(AD$6:AD38))</f>
        <v>1</v>
      </c>
      <c r="AE157">
        <f>IF(AE38="","",SUM(AE$6:AE38))</f>
        <v>6422</v>
      </c>
      <c r="AF157">
        <f>IF(AF38="","",SUM(AF$6:AF38))</f>
        <v>1</v>
      </c>
      <c r="AG157">
        <f>IF(AG38="","",SUM(AG$6:AG38))</f>
        <v>7</v>
      </c>
      <c r="AH157">
        <f>IF(AH38="","",SUM(AH$6:AH38))</f>
        <v>0</v>
      </c>
      <c r="AI157">
        <f>IF(AI38="","",SUM(AI$6:AI38))</f>
        <v>5</v>
      </c>
    </row>
    <row r="158" spans="1:35" x14ac:dyDescent="0.3">
      <c r="A158" s="3">
        <v>154</v>
      </c>
      <c r="B158" t="str">
        <f>IF(B39="","",SUM(B$6:B39))</f>
        <v/>
      </c>
      <c r="C158">
        <f>IF(C39="","",SUM(C$6:C39))</f>
        <v>29</v>
      </c>
      <c r="D158">
        <f>IF(D39="","",SUM(D$6:D39))</f>
        <v>14</v>
      </c>
      <c r="E158">
        <f>IF(E39="","",SUM(E$6:E39))</f>
        <v>0</v>
      </c>
      <c r="F158">
        <f>IF(F39="","",SUM(F$6:F39))</f>
        <v>31</v>
      </c>
      <c r="G158" t="str">
        <f>IF(G39="","",SUM(G$6:G39))</f>
        <v/>
      </c>
      <c r="H158">
        <f>IF(H39="","",SUM(H$6:H39))</f>
        <v>63</v>
      </c>
      <c r="I158">
        <f>IF(I39="","",SUM(I$6:I39))</f>
        <v>3</v>
      </c>
      <c r="J158">
        <f>IF(J39="","",SUM(J$6:J39))</f>
        <v>0</v>
      </c>
      <c r="K158">
        <f>IF(K39="","",SUM(K$6:K39))</f>
        <v>739</v>
      </c>
      <c r="L158">
        <f>IF(L39="","",SUM(L$6:L39))</f>
        <v>53</v>
      </c>
      <c r="M158">
        <f>IF(M39="","",SUM(M$6:M39))</f>
        <v>6</v>
      </c>
      <c r="N158">
        <f>IF(N39="","",SUM(N$6:N39))</f>
        <v>2</v>
      </c>
      <c r="O158">
        <f>IF(O39="","",SUM(O$6:O39))</f>
        <v>223</v>
      </c>
      <c r="P158">
        <f>IF(P39="","",SUM(P$6:P39))</f>
        <v>113</v>
      </c>
      <c r="Q158">
        <f>IF(Q39="","",SUM(Q$6:Q39))</f>
        <v>519</v>
      </c>
      <c r="R158">
        <f>IF(R39="","",SUM(R$6:R39))</f>
        <v>36</v>
      </c>
      <c r="S158">
        <f>IF(S39="","",SUM(S$6:S39))</f>
        <v>6780</v>
      </c>
      <c r="T158">
        <f>IF(T39="","",SUM(T$6:T39))</f>
        <v>0</v>
      </c>
      <c r="U158">
        <f>IF(U39="","",SUM(U$6:U39))</f>
        <v>8</v>
      </c>
      <c r="V158">
        <f>IF(V39="","",SUM(V$6:V39))</f>
        <v>0</v>
      </c>
      <c r="W158">
        <f>IF(W39="","",SUM(W$6:W39))</f>
        <v>2515</v>
      </c>
      <c r="X158">
        <f>IF(X39="","",SUM(X$6:X39))</f>
        <v>7</v>
      </c>
      <c r="Y158">
        <f>IF(Y39="","",SUM(Y$6:Y39))</f>
        <v>110</v>
      </c>
      <c r="Z158">
        <f>IF(Z39="","",SUM(Z$6:Z39))</f>
        <v>3</v>
      </c>
      <c r="AA158">
        <f>IF(AA39="","",SUM(AA$6:AA39))</f>
        <v>823</v>
      </c>
      <c r="AB158">
        <f>IF(AB39="","",SUM(AB$6:AB39))</f>
        <v>12</v>
      </c>
      <c r="AC158">
        <f>IF(AC39="","",SUM(AC$6:AC39))</f>
        <v>28</v>
      </c>
      <c r="AD158">
        <f>IF(AD39="","",SUM(AD$6:AD39))</f>
        <v>1</v>
      </c>
      <c r="AE158">
        <f>IF(AE39="","",SUM(AE$6:AE39))</f>
        <v>9857</v>
      </c>
      <c r="AF158">
        <f>IF(AF39="","",SUM(AF$6:AF39))</f>
        <v>3</v>
      </c>
      <c r="AG158">
        <f>IF(AG39="","",SUM(AG$6:AG39))</f>
        <v>7</v>
      </c>
      <c r="AH158">
        <f>IF(AH39="","",SUM(AH$6:AH39))</f>
        <v>1</v>
      </c>
      <c r="AI158">
        <f>IF(AI39="","",SUM(AI$6:AI39))</f>
        <v>5</v>
      </c>
    </row>
    <row r="159" spans="1:35" x14ac:dyDescent="0.3">
      <c r="A159" s="3">
        <v>155</v>
      </c>
      <c r="B159" t="str">
        <f>IF(B40="","",SUM(B$6:B40))</f>
        <v/>
      </c>
      <c r="C159">
        <f>IF(C40="","",SUM(C$6:C40))</f>
        <v>62</v>
      </c>
      <c r="D159">
        <f>IF(D40="","",SUM(D$6:D40))</f>
        <v>18</v>
      </c>
      <c r="E159">
        <f>IF(E40="","",SUM(E$6:E40))</f>
        <v>0</v>
      </c>
      <c r="F159">
        <f>IF(F40="","",SUM(F$6:F40))</f>
        <v>37</v>
      </c>
      <c r="G159" t="str">
        <f>IF(G40="","",SUM(G$6:G40))</f>
        <v/>
      </c>
      <c r="H159">
        <f>IF(H40="","",SUM(H$6:H40))</f>
        <v>132</v>
      </c>
      <c r="I159">
        <f>IF(I40="","",SUM(I$6:I40))</f>
        <v>14</v>
      </c>
      <c r="J159">
        <f>IF(J40="","",SUM(J$6:J40))</f>
        <v>0</v>
      </c>
      <c r="K159">
        <f>IF(K40="","",SUM(K$6:K40))</f>
        <v>739</v>
      </c>
      <c r="L159">
        <f>IF(L40="","",SUM(L$6:L40))</f>
        <v>67</v>
      </c>
      <c r="M159">
        <f>IF(M40="","",SUM(M$6:M40))</f>
        <v>7</v>
      </c>
      <c r="N159">
        <f>IF(N40="","",SUM(N$6:N40))</f>
        <v>2</v>
      </c>
      <c r="O159">
        <f>IF(O40="","",SUM(O$6:O40))</f>
        <v>223</v>
      </c>
      <c r="P159">
        <f>IF(P40="","",SUM(P$6:P40))</f>
        <v>223</v>
      </c>
      <c r="Q159">
        <f>IF(Q40="","",SUM(Q$6:Q40))</f>
        <v>874</v>
      </c>
      <c r="R159">
        <f>IF(R40="","",SUM(R$6:R40))</f>
        <v>36</v>
      </c>
      <c r="S159">
        <f>IF(S40="","",SUM(S$6:S40))</f>
        <v>7112</v>
      </c>
      <c r="T159">
        <f>IF(T40="","",SUM(T$6:T40))</f>
        <v>0</v>
      </c>
      <c r="U159">
        <f>IF(U40="","",SUM(U$6:U40))</f>
        <v>11</v>
      </c>
      <c r="V159">
        <f>IF(V40="","",SUM(V$6:V40))</f>
        <v>0</v>
      </c>
      <c r="W159">
        <f>IF(W40="","",SUM(W$6:W40))</f>
        <v>3885</v>
      </c>
      <c r="X159">
        <f>IF(X40="","",SUM(X$6:X40))</f>
        <v>7</v>
      </c>
      <c r="Y159">
        <f>IF(Y40="","",SUM(Y$6:Y40))</f>
        <v>128</v>
      </c>
      <c r="Z159">
        <f>IF(Z40="","",SUM(Z$6:Z40))</f>
        <v>3</v>
      </c>
      <c r="AA159">
        <f>IF(AA40="","",SUM(AA$6:AA40))</f>
        <v>1080</v>
      </c>
      <c r="AB159">
        <f>IF(AB40="","",SUM(AB$6:AB40))</f>
        <v>12</v>
      </c>
      <c r="AC159">
        <f>IF(AC40="","",SUM(AC$6:AC40))</f>
        <v>28</v>
      </c>
      <c r="AD159">
        <f>IF(AD40="","",SUM(AD$6:AD40))</f>
        <v>1</v>
      </c>
      <c r="AE159">
        <f>IF(AE40="","",SUM(AE$6:AE40))</f>
        <v>9971</v>
      </c>
      <c r="AF159">
        <f>IF(AF40="","",SUM(AF$6:AF40))</f>
        <v>3</v>
      </c>
      <c r="AG159">
        <f>IF(AG40="","",SUM(AG$6:AG40))</f>
        <v>10</v>
      </c>
      <c r="AH159">
        <f>IF(AH40="","",SUM(AH$6:AH40))</f>
        <v>1</v>
      </c>
      <c r="AI159">
        <f>IF(AI40="","",SUM(AI$6:AI40))</f>
        <v>5</v>
      </c>
    </row>
    <row r="160" spans="1:35" x14ac:dyDescent="0.3">
      <c r="A160" s="3">
        <v>156</v>
      </c>
      <c r="B160" t="str">
        <f>IF(B41="","",SUM(B$6:B41))</f>
        <v/>
      </c>
      <c r="C160">
        <f>IF(C41="","",SUM(C$6:C41))</f>
        <v>139</v>
      </c>
      <c r="D160">
        <f>IF(D41="","",SUM(D$6:D41))</f>
        <v>23</v>
      </c>
      <c r="E160">
        <f>IF(E41="","",SUM(E$6:E41))</f>
        <v>0</v>
      </c>
      <c r="F160">
        <f>IF(F41="","",SUM(F$6:F41))</f>
        <v>44</v>
      </c>
      <c r="G160" t="str">
        <f>IF(G41="","",SUM(G$6:G41))</f>
        <v/>
      </c>
      <c r="H160">
        <f>IF(H41="","",SUM(H$6:H41))</f>
        <v>172</v>
      </c>
      <c r="I160">
        <f>IF(I41="","",SUM(I$6:I41))</f>
        <v>29</v>
      </c>
      <c r="J160">
        <f>IF(J41="","",SUM(J$6:J41))</f>
        <v>0</v>
      </c>
      <c r="K160">
        <f>IF(K41="","",SUM(K$6:K41))</f>
        <v>739</v>
      </c>
      <c r="L160">
        <f>IF(L41="","",SUM(L$6:L41))</f>
        <v>88</v>
      </c>
      <c r="M160">
        <f>IF(M41="","",SUM(M$6:M41))</f>
        <v>23</v>
      </c>
      <c r="N160">
        <f>IF(N41="","",SUM(N$6:N41))</f>
        <v>6</v>
      </c>
      <c r="O160">
        <f>IF(O41="","",SUM(O$6:O41))</f>
        <v>321</v>
      </c>
      <c r="P160">
        <f>IF(P41="","",SUM(P$6:P41))</f>
        <v>349</v>
      </c>
      <c r="Q160">
        <f>IF(Q41="","",SUM(Q$6:Q41))</f>
        <v>881</v>
      </c>
      <c r="R160">
        <f>IF(R41="","",SUM(R$6:R41))</f>
        <v>97</v>
      </c>
      <c r="S160">
        <f>IF(S41="","",SUM(S$6:S41))</f>
        <v>8865</v>
      </c>
      <c r="T160">
        <f>IF(T41="","",SUM(T$6:T41))</f>
        <v>0</v>
      </c>
      <c r="U160">
        <f>IF(U41="","",SUM(U$6:U41))</f>
        <v>17</v>
      </c>
      <c r="V160">
        <f>IF(V41="","",SUM(V$6:V41))</f>
        <v>0</v>
      </c>
      <c r="W160">
        <f>IF(W41="","",SUM(W$6:W41))</f>
        <v>3951</v>
      </c>
      <c r="X160">
        <f>IF(X41="","",SUM(X$6:X41))</f>
        <v>32</v>
      </c>
      <c r="Y160">
        <f>IF(Y41="","",SUM(Y$6:Y41))</f>
        <v>132</v>
      </c>
      <c r="Z160">
        <f>IF(Z41="","",SUM(Z$6:Z41))</f>
        <v>3</v>
      </c>
      <c r="AA160">
        <f>IF(AA41="","",SUM(AA$6:AA41))</f>
        <v>2300</v>
      </c>
      <c r="AB160">
        <f>IF(AB41="","",SUM(AB$6:AB41))</f>
        <v>12</v>
      </c>
      <c r="AC160">
        <f>IF(AC41="","",SUM(AC$6:AC41))</f>
        <v>28</v>
      </c>
      <c r="AD160">
        <f>IF(AD41="","",SUM(AD$6:AD41))</f>
        <v>1</v>
      </c>
      <c r="AE160">
        <f>IF(AE41="","",SUM(AE$6:AE41))</f>
        <v>11400</v>
      </c>
      <c r="AF160">
        <f>IF(AF41="","",SUM(AF$6:AF41))</f>
        <v>3</v>
      </c>
      <c r="AG160">
        <f>IF(AG41="","",SUM(AG$6:AG41))</f>
        <v>11</v>
      </c>
      <c r="AH160">
        <f>IF(AH41="","",SUM(AH$6:AH41))</f>
        <v>1</v>
      </c>
      <c r="AI160">
        <f>IF(AI41="","",SUM(AI$6:AI41))</f>
        <v>5</v>
      </c>
    </row>
    <row r="161" spans="1:35" x14ac:dyDescent="0.3">
      <c r="A161" s="3">
        <v>157</v>
      </c>
      <c r="B161" t="str">
        <f>IF(B42="","",SUM(B$6:B42))</f>
        <v/>
      </c>
      <c r="C161">
        <f>IF(C42="","",SUM(C$6:C42))</f>
        <v>139</v>
      </c>
      <c r="D161">
        <f>IF(D42="","",SUM(D$6:D42))</f>
        <v>27</v>
      </c>
      <c r="E161">
        <f>IF(E42="","",SUM(E$6:E42))</f>
        <v>0</v>
      </c>
      <c r="F161">
        <f>IF(F42="","",SUM(F$6:F42))</f>
        <v>65</v>
      </c>
      <c r="G161" t="str">
        <f>IF(G42="","",SUM(G$6:G42))</f>
        <v/>
      </c>
      <c r="H161">
        <f>IF(H42="","",SUM(H$6:H42))</f>
        <v>262</v>
      </c>
      <c r="I161">
        <f>IF(I42="","",SUM(I$6:I42))</f>
        <v>35</v>
      </c>
      <c r="J161">
        <f>IF(J42="","",SUM(J$6:J42))</f>
        <v>4</v>
      </c>
      <c r="K161">
        <f>IF(K42="","",SUM(K$6:K42))</f>
        <v>1348</v>
      </c>
      <c r="L161">
        <f>IF(L42="","",SUM(L$6:L42))</f>
        <v>122</v>
      </c>
      <c r="M161">
        <f>IF(M42="","",SUM(M$6:M42))</f>
        <v>24</v>
      </c>
      <c r="N161">
        <f>IF(N42="","",SUM(N$6:N42))</f>
        <v>6</v>
      </c>
      <c r="O161">
        <f>IF(O42="","",SUM(O$6:O42))</f>
        <v>883</v>
      </c>
      <c r="P161">
        <f>IF(P42="","",SUM(P$6:P42))</f>
        <v>349</v>
      </c>
      <c r="Q161">
        <f>IF(Q42="","",SUM(Q$6:Q42))</f>
        <v>2027</v>
      </c>
      <c r="R161">
        <f>IF(R42="","",SUM(R$6:R42))</f>
        <v>344</v>
      </c>
      <c r="S161">
        <f>IF(S42="","",SUM(S$6:S42))</f>
        <v>10106</v>
      </c>
      <c r="T161">
        <f>IF(T42="","",SUM(T$6:T42))</f>
        <v>0</v>
      </c>
      <c r="U161">
        <f>IF(U42="","",SUM(U$6:U42))</f>
        <v>273</v>
      </c>
      <c r="V161">
        <f>IF(V42="","",SUM(V$6:V42))</f>
        <v>0</v>
      </c>
      <c r="W161">
        <f>IF(W42="","",SUM(W$6:W42))</f>
        <v>4137</v>
      </c>
      <c r="X161">
        <f>IF(X42="","",SUM(X$6:X42))</f>
        <v>66</v>
      </c>
      <c r="Y161">
        <f>IF(Y42="","",SUM(Y$6:Y42))</f>
        <v>141</v>
      </c>
      <c r="Z161">
        <f>IF(Z42="","",SUM(Z$6:Z42))</f>
        <v>3</v>
      </c>
      <c r="AA161">
        <f>IF(AA42="","",SUM(AA$6:AA42))</f>
        <v>2834</v>
      </c>
      <c r="AB161">
        <f>IF(AB42="","",SUM(AB$6:AB42))</f>
        <v>12</v>
      </c>
      <c r="AC161">
        <f>IF(AC42="","",SUM(AC$6:AC42))</f>
        <v>28</v>
      </c>
      <c r="AD161">
        <f>IF(AD42="","",SUM(AD$6:AD42))</f>
        <v>1</v>
      </c>
      <c r="AE161">
        <f>IF(AE42="","",SUM(AE$6:AE42))</f>
        <v>15036</v>
      </c>
      <c r="AF161">
        <f>IF(AF42="","",SUM(AF$6:AF42))</f>
        <v>3</v>
      </c>
      <c r="AG161">
        <f>IF(AG42="","",SUM(AG$6:AG42))</f>
        <v>19</v>
      </c>
      <c r="AH161">
        <f>IF(AH42="","",SUM(AH$6:AH42))</f>
        <v>1</v>
      </c>
      <c r="AI161">
        <f>IF(AI42="","",SUM(AI$6:AI42))</f>
        <v>7</v>
      </c>
    </row>
    <row r="162" spans="1:35" x14ac:dyDescent="0.3">
      <c r="A162" s="3">
        <v>158</v>
      </c>
      <c r="B162" t="str">
        <f>IF(B43="","",SUM(B$6:B43))</f>
        <v/>
      </c>
      <c r="C162">
        <f>IF(C43="","",SUM(C$6:C43))</f>
        <v>144</v>
      </c>
      <c r="D162">
        <f>IF(D43="","",SUM(D$6:D43))</f>
        <v>44</v>
      </c>
      <c r="E162">
        <f>IF(E43="","",SUM(E$6:E43))</f>
        <v>0</v>
      </c>
      <c r="F162">
        <f>IF(F43="","",SUM(F$6:F43))</f>
        <v>82</v>
      </c>
      <c r="G162" t="str">
        <f>IF(G43="","",SUM(G$6:G43))</f>
        <v/>
      </c>
      <c r="H162">
        <f>IF(H43="","",SUM(H$6:H43))</f>
        <v>274</v>
      </c>
      <c r="I162">
        <f>IF(I43="","",SUM(I$6:I43))</f>
        <v>35</v>
      </c>
      <c r="J162">
        <f>IF(J43="","",SUM(J$6:J43))</f>
        <v>6</v>
      </c>
      <c r="K162">
        <f>IF(K43="","",SUM(K$6:K43))</f>
        <v>1354</v>
      </c>
      <c r="L162">
        <f>IF(L43="","",SUM(L$6:L43))</f>
        <v>135</v>
      </c>
      <c r="M162">
        <f>IF(M43="","",SUM(M$6:M43))</f>
        <v>35</v>
      </c>
      <c r="N162">
        <f>IF(N43="","",SUM(N$6:N43))</f>
        <v>11</v>
      </c>
      <c r="O162">
        <f>IF(O43="","",SUM(O$6:O43))</f>
        <v>1592</v>
      </c>
      <c r="P162">
        <f>IF(P43="","",SUM(P$6:P43))</f>
        <v>623</v>
      </c>
      <c r="Q162">
        <f>IF(Q43="","",SUM(Q$6:Q43))</f>
        <v>2097</v>
      </c>
      <c r="R162">
        <f>IF(R43="","",SUM(R$6:R43))</f>
        <v>431</v>
      </c>
      <c r="S162">
        <f>IF(S43="","",SUM(S$6:S43))</f>
        <v>11016</v>
      </c>
      <c r="T162">
        <f>IF(T43="","",SUM(T$6:T43))</f>
        <v>35</v>
      </c>
      <c r="U162">
        <f>IF(U43="","",SUM(U$6:U43))</f>
        <v>281</v>
      </c>
      <c r="V162">
        <f>IF(V43="","",SUM(V$6:V43))</f>
        <v>0</v>
      </c>
      <c r="W162">
        <f>IF(W43="","",SUM(W$6:W43))</f>
        <v>4761</v>
      </c>
      <c r="X162">
        <f>IF(X43="","",SUM(X$6:X43))</f>
        <v>66</v>
      </c>
      <c r="Y162">
        <f>IF(Y43="","",SUM(Y$6:Y43))</f>
        <v>158</v>
      </c>
      <c r="Z162">
        <f>IF(Z43="","",SUM(Z$6:Z43))</f>
        <v>4</v>
      </c>
      <c r="AA162">
        <f>IF(AA43="","",SUM(AA$6:AA43))</f>
        <v>3492</v>
      </c>
      <c r="AB162">
        <f>IF(AB43="","",SUM(AB$6:AB43))</f>
        <v>12</v>
      </c>
      <c r="AC162">
        <f>IF(AC43="","",SUM(AC$6:AC43))</f>
        <v>28</v>
      </c>
      <c r="AD162">
        <f>IF(AD43="","",SUM(AD$6:AD43))</f>
        <v>36</v>
      </c>
      <c r="AE162">
        <f>IF(AE43="","",SUM(AE$6:AE43))</f>
        <v>15122</v>
      </c>
      <c r="AF162">
        <f>IF(AF43="","",SUM(AF$6:AF43))</f>
        <v>3</v>
      </c>
      <c r="AG162">
        <f>IF(AG43="","",SUM(AG$6:AG43))</f>
        <v>1113</v>
      </c>
      <c r="AH162">
        <f>IF(AH43="","",SUM(AH$6:AH43))</f>
        <v>1</v>
      </c>
      <c r="AI162">
        <f>IF(AI43="","",SUM(AI$6:AI43))</f>
        <v>7</v>
      </c>
    </row>
    <row r="163" spans="1:35" x14ac:dyDescent="0.3">
      <c r="A163" s="3">
        <v>159</v>
      </c>
      <c r="B163">
        <f>IF(B44="","",SUM(B$6:B44))</f>
        <v>2</v>
      </c>
      <c r="C163">
        <f>IF(C44="","",SUM(C$6:C44))</f>
        <v>146</v>
      </c>
      <c r="D163">
        <f>IF(D44="","",SUM(D$6:D44))</f>
        <v>44</v>
      </c>
      <c r="E163">
        <f>IF(E44="","",SUM(E$6:E44))</f>
        <v>0</v>
      </c>
      <c r="F163">
        <f>IF(F44="","",SUM(F$6:F44))</f>
        <v>95</v>
      </c>
      <c r="G163" t="str">
        <f>IF(G44="","",SUM(G$6:G44))</f>
        <v/>
      </c>
      <c r="H163">
        <f>IF(H44="","",SUM(H$6:H44))</f>
        <v>459</v>
      </c>
      <c r="I163">
        <f>IF(I44="","",SUM(I$6:I44))</f>
        <v>35</v>
      </c>
      <c r="J163">
        <f>IF(J44="","",SUM(J$6:J44))</f>
        <v>7</v>
      </c>
      <c r="K163">
        <f>IF(K44="","",SUM(K$6:K44))</f>
        <v>1538</v>
      </c>
      <c r="L163">
        <f>IF(L44="","",SUM(L$6:L44))</f>
        <v>137</v>
      </c>
      <c r="M163">
        <f>IF(M44="","",SUM(M$6:M44))</f>
        <v>35</v>
      </c>
      <c r="N163">
        <f>IF(N44="","",SUM(N$6:N44))</f>
        <v>46</v>
      </c>
      <c r="O163">
        <f>IF(O44="","",SUM(O$6:O44))</f>
        <v>3051</v>
      </c>
      <c r="P163">
        <f>IF(P44="","",SUM(P$6:P44))</f>
        <v>628</v>
      </c>
      <c r="Q163">
        <f>IF(Q44="","",SUM(Q$6:Q44))</f>
        <v>2271</v>
      </c>
      <c r="R163">
        <f>IF(R44="","",SUM(R$6:R44))</f>
        <v>470</v>
      </c>
      <c r="S163">
        <f>IF(S44="","",SUM(S$6:S44))</f>
        <v>12325</v>
      </c>
      <c r="T163">
        <f>IF(T44="","",SUM(T$6:T44))</f>
        <v>35</v>
      </c>
      <c r="U163">
        <f>IF(U44="","",SUM(U$6:U44))</f>
        <v>281</v>
      </c>
      <c r="V163">
        <f>IF(V44="","",SUM(V$6:V44))</f>
        <v>0</v>
      </c>
      <c r="W163">
        <f>IF(W44="","",SUM(W$6:W44))</f>
        <v>5151</v>
      </c>
      <c r="X163">
        <f>IF(X44="","",SUM(X$6:X44))</f>
        <v>102</v>
      </c>
      <c r="Y163">
        <f>IF(Y44="","",SUM(Y$6:Y44))</f>
        <v>198</v>
      </c>
      <c r="Z163">
        <f>IF(Z44="","",SUM(Z$6:Z44))</f>
        <v>4</v>
      </c>
      <c r="AA163">
        <f>IF(AA44="","",SUM(AA$6:AA44))</f>
        <v>5354</v>
      </c>
      <c r="AB163">
        <f>IF(AB44="","",SUM(AB$6:AB44))</f>
        <v>14</v>
      </c>
      <c r="AC163">
        <f>IF(AC44="","",SUM(AC$6:AC44))</f>
        <v>31</v>
      </c>
      <c r="AD163">
        <f>IF(AD44="","",SUM(AD$6:AD44))</f>
        <v>36</v>
      </c>
      <c r="AE163">
        <f>IF(AE44="","",SUM(AE$6:AE44))</f>
        <v>15448</v>
      </c>
      <c r="AF163">
        <f>IF(AF44="","",SUM(AF$6:AF44))</f>
        <v>3</v>
      </c>
      <c r="AG163">
        <f>IF(AG44="","",SUM(AG$6:AG44))</f>
        <v>1115</v>
      </c>
      <c r="AH163">
        <f>IF(AH44="","",SUM(AH$6:AH44))</f>
        <v>1</v>
      </c>
      <c r="AI163">
        <f>IF(AI44="","",SUM(AI$6:AI44))</f>
        <v>7</v>
      </c>
    </row>
    <row r="164" spans="1:35" x14ac:dyDescent="0.3">
      <c r="A164" s="3">
        <v>160</v>
      </c>
      <c r="B164">
        <f>IF(B45="","",SUM(B$6:B45))</f>
        <v>2</v>
      </c>
      <c r="C164">
        <f>IF(C45="","",SUM(C$6:C45))</f>
        <v>146</v>
      </c>
      <c r="D164">
        <f>IF(D45="","",SUM(D$6:D45))</f>
        <v>59</v>
      </c>
      <c r="E164">
        <f>IF(E45="","",SUM(E$6:E45))</f>
        <v>0</v>
      </c>
      <c r="F164">
        <f>IF(F45="","",SUM(F$6:F45))</f>
        <v>126</v>
      </c>
      <c r="G164" t="str">
        <f>IF(G45="","",SUM(G$6:G45))</f>
        <v/>
      </c>
      <c r="H164">
        <f>IF(H45="","",SUM(H$6:H45))</f>
        <v>461</v>
      </c>
      <c r="I164">
        <f>IF(I45="","",SUM(I$6:I45))</f>
        <v>156</v>
      </c>
      <c r="J164">
        <f>IF(J45="","",SUM(J$6:J45))</f>
        <v>13</v>
      </c>
      <c r="K164">
        <f>IF(K45="","",SUM(K$6:K45))</f>
        <v>2729</v>
      </c>
      <c r="L164">
        <f>IF(L45="","",SUM(L$6:L45))</f>
        <v>153</v>
      </c>
      <c r="M164">
        <f>IF(M45="","",SUM(M$6:M45))</f>
        <v>35</v>
      </c>
      <c r="N164">
        <f>IF(N45="","",SUM(N$6:N45))</f>
        <v>48</v>
      </c>
      <c r="O164">
        <f>IF(O45="","",SUM(O$6:O45))</f>
        <v>3547</v>
      </c>
      <c r="P164">
        <f>IF(P45="","",SUM(P$6:P45))</f>
        <v>1169</v>
      </c>
      <c r="Q164">
        <f>IF(Q45="","",SUM(Q$6:Q45))</f>
        <v>3231</v>
      </c>
      <c r="R164">
        <f>IF(R45="","",SUM(R$6:R45))</f>
        <v>1221</v>
      </c>
      <c r="S164">
        <f>IF(S45="","",SUM(S$6:S45))</f>
        <v>13678</v>
      </c>
      <c r="T164">
        <f>IF(T45="","",SUM(T$6:T45))</f>
        <v>36</v>
      </c>
      <c r="U164">
        <f>IF(U45="","",SUM(U$6:U45))</f>
        <v>292</v>
      </c>
      <c r="V164">
        <f>IF(V45="","",SUM(V$6:V45))</f>
        <v>0</v>
      </c>
      <c r="W164">
        <f>IF(W45="","",SUM(W$6:W45))</f>
        <v>5458</v>
      </c>
      <c r="X164">
        <f>IF(X45="","",SUM(X$6:X45))</f>
        <v>302</v>
      </c>
      <c r="Y164">
        <f>IF(Y45="","",SUM(Y$6:Y45))</f>
        <v>200</v>
      </c>
      <c r="Z164">
        <f>IF(Z45="","",SUM(Z$6:Z45))</f>
        <v>8</v>
      </c>
      <c r="AA164">
        <f>IF(AA45="","",SUM(AA$6:AA45))</f>
        <v>6140</v>
      </c>
      <c r="AB164">
        <f>IF(AB45="","",SUM(AB$6:AB45))</f>
        <v>47</v>
      </c>
      <c r="AC164">
        <f>IF(AC45="","",SUM(AC$6:AC45))</f>
        <v>31</v>
      </c>
      <c r="AD164">
        <f>IF(AD45="","",SUM(AD$6:AD45))</f>
        <v>36</v>
      </c>
      <c r="AE164">
        <f>IF(AE45="","",SUM(AE$6:AE45))</f>
        <v>15570</v>
      </c>
      <c r="AF164">
        <f>IF(AF45="","",SUM(AF$6:AF45))</f>
        <v>5</v>
      </c>
      <c r="AG164">
        <f>IF(AG45="","",SUM(AG$6:AG45))</f>
        <v>1118</v>
      </c>
      <c r="AH164">
        <f>IF(AH45="","",SUM(AH$6:AH45))</f>
        <v>2</v>
      </c>
      <c r="AI164">
        <f>IF(AI45="","",SUM(AI$6:AI45))</f>
        <v>7</v>
      </c>
    </row>
    <row r="165" spans="1:35" x14ac:dyDescent="0.3">
      <c r="A165" s="3">
        <v>161</v>
      </c>
      <c r="B165">
        <f>IF(B46="","",SUM(B$6:B46))</f>
        <v>2</v>
      </c>
      <c r="C165">
        <f>IF(C46="","",SUM(C$6:C46))</f>
        <v>151</v>
      </c>
      <c r="D165">
        <f>IF(D46="","",SUM(D$6:D46))</f>
        <v>61</v>
      </c>
      <c r="E165">
        <f>IF(E46="","",SUM(E$6:E46))</f>
        <v>2</v>
      </c>
      <c r="F165">
        <f>IF(F46="","",SUM(F$6:F46))</f>
        <v>166</v>
      </c>
      <c r="G165">
        <f>IF(G46="","",SUM(G$6:G46))</f>
        <v>373</v>
      </c>
      <c r="H165">
        <f>IF(H46="","",SUM(H$6:H46))</f>
        <v>768</v>
      </c>
      <c r="I165">
        <f>IF(I46="","",SUM(I$6:I46))</f>
        <v>161</v>
      </c>
      <c r="J165">
        <f>IF(J46="","",SUM(J$6:J46))</f>
        <v>13</v>
      </c>
      <c r="K165">
        <f>IF(K46="","",SUM(K$6:K46))</f>
        <v>2732</v>
      </c>
      <c r="L165">
        <f>IF(L46="","",SUM(L$6:L46))</f>
        <v>153</v>
      </c>
      <c r="M165">
        <f>IF(M46="","",SUM(M$6:M46))</f>
        <v>35</v>
      </c>
      <c r="N165">
        <f>IF(N46="","",SUM(N$6:N46))</f>
        <v>219</v>
      </c>
      <c r="O165">
        <f>IF(O46="","",SUM(O$6:O46))</f>
        <v>4343</v>
      </c>
      <c r="P165">
        <f>IF(P46="","",SUM(P$6:P46))</f>
        <v>1952</v>
      </c>
      <c r="Q165">
        <f>IF(Q46="","",SUM(Q$6:Q46))</f>
        <v>3645</v>
      </c>
      <c r="R165">
        <f>IF(R46="","",SUM(R$6:R46))</f>
        <v>1224</v>
      </c>
      <c r="S165">
        <f>IF(S46="","",SUM(S$6:S46))</f>
        <v>14286</v>
      </c>
      <c r="T165">
        <f>IF(T46="","",SUM(T$6:T46))</f>
        <v>36</v>
      </c>
      <c r="U165">
        <f>IF(U46="","",SUM(U$6:U46))</f>
        <v>539</v>
      </c>
      <c r="V165">
        <f>IF(V46="","",SUM(V$6:V46))</f>
        <v>0</v>
      </c>
      <c r="W165">
        <f>IF(W46="","",SUM(W$6:W46))</f>
        <v>5747</v>
      </c>
      <c r="X165">
        <f>IF(X46="","",SUM(X$6:X46))</f>
        <v>508</v>
      </c>
      <c r="Y165">
        <f>IF(Y46="","",SUM(Y$6:Y46))</f>
        <v>537</v>
      </c>
      <c r="Z165">
        <f>IF(Z46="","",SUM(Z$6:Z46))</f>
        <v>9</v>
      </c>
      <c r="AA165">
        <f>IF(AA46="","",SUM(AA$6:AA46))</f>
        <v>7400</v>
      </c>
      <c r="AB165">
        <f>IF(AB46="","",SUM(AB$6:AB46))</f>
        <v>1002</v>
      </c>
      <c r="AC165">
        <f>IF(AC46="","",SUM(AC$6:AC46))</f>
        <v>73</v>
      </c>
      <c r="AD165">
        <f>IF(AD46="","",SUM(AD$6:AD46))</f>
        <v>36</v>
      </c>
      <c r="AE165">
        <f>IF(AE46="","",SUM(AE$6:AE46))</f>
        <v>15987</v>
      </c>
      <c r="AF165">
        <f>IF(AF46="","",SUM(AF$6:AF46))</f>
        <v>14</v>
      </c>
      <c r="AG165">
        <f>IF(AG46="","",SUM(AG$6:AG46))</f>
        <v>1755</v>
      </c>
      <c r="AH165">
        <f>IF(AH46="","",SUM(AH$6:AH46))</f>
        <v>2</v>
      </c>
      <c r="AI165">
        <f>IF(AI46="","",SUM(AI$6:AI46))</f>
        <v>7</v>
      </c>
    </row>
    <row r="166" spans="1:35" x14ac:dyDescent="0.3">
      <c r="A166" s="3">
        <v>162</v>
      </c>
      <c r="B166">
        <f>IF(B47="","",SUM(B$6:B47))</f>
        <v>3</v>
      </c>
      <c r="C166">
        <f>IF(C47="","",SUM(C$6:C47))</f>
        <v>1098</v>
      </c>
      <c r="D166">
        <f>IF(D47="","",SUM(D$6:D47))</f>
        <v>62</v>
      </c>
      <c r="E166">
        <f>IF(E47="","",SUM(E$6:E47))</f>
        <v>2</v>
      </c>
      <c r="F166">
        <f>IF(F47="","",SUM(F$6:F47))</f>
        <v>248</v>
      </c>
      <c r="G166">
        <f>IF(G47="","",SUM(G$6:G47))</f>
        <v>397</v>
      </c>
      <c r="H166">
        <f>IF(H47="","",SUM(H$6:H47))</f>
        <v>789</v>
      </c>
      <c r="I166">
        <f>IF(I47="","",SUM(I$6:I47))</f>
        <v>185</v>
      </c>
      <c r="J166">
        <f>IF(J47="","",SUM(J$6:J47))</f>
        <v>13</v>
      </c>
      <c r="K166">
        <f>IF(K47="","",SUM(K$6:K47))</f>
        <v>2732</v>
      </c>
      <c r="L166">
        <f>IF(L47="","",SUM(L$6:L47))</f>
        <v>454</v>
      </c>
      <c r="M166">
        <f>IF(M47="","",SUM(M$6:M47))</f>
        <v>35</v>
      </c>
      <c r="N166">
        <f>IF(N47="","",SUM(N$6:N47))</f>
        <v>766</v>
      </c>
      <c r="O166">
        <f>IF(O47="","",SUM(O$6:O47))</f>
        <v>4521</v>
      </c>
      <c r="P166">
        <f>IF(P47="","",SUM(P$6:P47))</f>
        <v>1994</v>
      </c>
      <c r="Q166">
        <f>IF(Q47="","",SUM(Q$6:Q47))</f>
        <v>4098</v>
      </c>
      <c r="R166">
        <f>IF(R47="","",SUM(R$6:R47))</f>
        <v>1387</v>
      </c>
      <c r="S166">
        <f>IF(S47="","",SUM(S$6:S47))</f>
        <v>14593</v>
      </c>
      <c r="T166">
        <f>IF(T47="","",SUM(T$6:T47))</f>
        <v>36</v>
      </c>
      <c r="U166">
        <f>IF(U47="","",SUM(U$6:U47))</f>
        <v>691</v>
      </c>
      <c r="V166">
        <f>IF(V47="","",SUM(V$6:V47))</f>
        <v>0</v>
      </c>
      <c r="W166">
        <f>IF(W47="","",SUM(W$6:W47))</f>
        <v>6282</v>
      </c>
      <c r="X166">
        <f>IF(X47="","",SUM(X$6:X47))</f>
        <v>508</v>
      </c>
      <c r="Y166">
        <f>IF(Y47="","",SUM(Y$6:Y47))</f>
        <v>876</v>
      </c>
      <c r="Z166">
        <f>IF(Z47="","",SUM(Z$6:Z47))</f>
        <v>10</v>
      </c>
      <c r="AA166">
        <f>IF(AA47="","",SUM(AA$6:AA47))</f>
        <v>9058</v>
      </c>
      <c r="AB166">
        <f>IF(AB47="","",SUM(AB$6:AB47))</f>
        <v>1246</v>
      </c>
      <c r="AC166">
        <f>IF(AC47="","",SUM(AC$6:AC47))</f>
        <v>497</v>
      </c>
      <c r="AD166">
        <f>IF(AD47="","",SUM(AD$6:AD47))</f>
        <v>36</v>
      </c>
      <c r="AE166">
        <f>IF(AE47="","",SUM(AE$6:AE47))</f>
        <v>16110</v>
      </c>
      <c r="AF166">
        <f>IF(AF47="","",SUM(AF$6:AF47))</f>
        <v>15</v>
      </c>
      <c r="AG166">
        <f>IF(AG47="","",SUM(AG$6:AG47))</f>
        <v>1755</v>
      </c>
      <c r="AH166">
        <f>IF(AH47="","",SUM(AH$6:AH47))</f>
        <v>2</v>
      </c>
      <c r="AI166">
        <f>IF(AI47="","",SUM(AI$6:AI47))</f>
        <v>44</v>
      </c>
    </row>
    <row r="167" spans="1:35" x14ac:dyDescent="0.3">
      <c r="A167" s="3">
        <v>163</v>
      </c>
      <c r="B167">
        <f>IF(B48="","",SUM(B$6:B48))</f>
        <v>4</v>
      </c>
      <c r="C167">
        <f>IF(C48="","",SUM(C$6:C48))</f>
        <v>1773</v>
      </c>
      <c r="D167">
        <f>IF(D48="","",SUM(D$6:D48))</f>
        <v>62</v>
      </c>
      <c r="E167">
        <f>IF(E48="","",SUM(E$6:E48))</f>
        <v>5</v>
      </c>
      <c r="F167">
        <f>IF(F48="","",SUM(F$6:F48))</f>
        <v>384</v>
      </c>
      <c r="G167">
        <f>IF(G48="","",SUM(G$6:G48))</f>
        <v>450</v>
      </c>
      <c r="H167">
        <f>IF(H48="","",SUM(H$6:H48))</f>
        <v>1182</v>
      </c>
      <c r="I167">
        <f>IF(I48="","",SUM(I$6:I48))</f>
        <v>185</v>
      </c>
      <c r="J167">
        <f>IF(J48="","",SUM(J$6:J48))</f>
        <v>13</v>
      </c>
      <c r="K167">
        <f>IF(K48="","",SUM(K$6:K48))</f>
        <v>2754</v>
      </c>
      <c r="L167">
        <f>IF(L48="","",SUM(L$6:L48))</f>
        <v>1198</v>
      </c>
      <c r="M167">
        <f>IF(M48="","",SUM(M$6:M48))</f>
        <v>45</v>
      </c>
      <c r="N167">
        <f>IF(N48="","",SUM(N$6:N48))</f>
        <v>766</v>
      </c>
      <c r="O167">
        <f>IF(O48="","",SUM(O$6:O48))</f>
        <v>4524</v>
      </c>
      <c r="P167">
        <f>IF(P48="","",SUM(P$6:P48))</f>
        <v>2282</v>
      </c>
      <c r="Q167">
        <f>IF(Q48="","",SUM(Q$6:Q48))</f>
        <v>4163</v>
      </c>
      <c r="R167">
        <f>IF(R48="","",SUM(R$6:R48))</f>
        <v>1525</v>
      </c>
      <c r="S167">
        <f>IF(S48="","",SUM(S$6:S48))</f>
        <v>15091</v>
      </c>
      <c r="T167">
        <f>IF(T48="","",SUM(T$6:T48))</f>
        <v>479</v>
      </c>
      <c r="U167">
        <f>IF(U48="","",SUM(U$6:U48))</f>
        <v>694</v>
      </c>
      <c r="V167">
        <f>IF(V48="","",SUM(V$6:V48))</f>
        <v>0</v>
      </c>
      <c r="W167">
        <f>IF(W48="","",SUM(W$6:W48))</f>
        <v>6303</v>
      </c>
      <c r="X167">
        <f>IF(X48="","",SUM(X$6:X48))</f>
        <v>508</v>
      </c>
      <c r="Y167">
        <f>IF(Y48="","",SUM(Y$6:Y48))</f>
        <v>921</v>
      </c>
      <c r="Z167">
        <f>IF(Z48="","",SUM(Z$6:Z48))</f>
        <v>10</v>
      </c>
      <c r="AA167">
        <f>IF(AA48="","",SUM(AA$6:AA48))</f>
        <v>12028</v>
      </c>
      <c r="AB167">
        <f>IF(AB48="","",SUM(AB$6:AB48))</f>
        <v>1730</v>
      </c>
      <c r="AC167">
        <f>IF(AC48="","",SUM(AC$6:AC48))</f>
        <v>529</v>
      </c>
      <c r="AD167">
        <f>IF(AD48="","",SUM(AD$6:AD48))</f>
        <v>36</v>
      </c>
      <c r="AE167">
        <f>IF(AE48="","",SUM(AE$6:AE48))</f>
        <v>18121</v>
      </c>
      <c r="AF167">
        <f>IF(AF48="","",SUM(AF$6:AF48))</f>
        <v>24</v>
      </c>
      <c r="AG167">
        <f>IF(AG48="","",SUM(AG$6:AG48))</f>
        <v>2273</v>
      </c>
      <c r="AH167">
        <f>IF(AH48="","",SUM(AH$6:AH48))</f>
        <v>2</v>
      </c>
      <c r="AI167">
        <f>IF(AI48="","",SUM(AI$6:AI48))</f>
        <v>60</v>
      </c>
    </row>
    <row r="168" spans="1:35" x14ac:dyDescent="0.3">
      <c r="A168" s="3">
        <v>164</v>
      </c>
      <c r="B168">
        <f>IF(B49="","",SUM(B$6:B49))</f>
        <v>4</v>
      </c>
      <c r="C168">
        <f>IF(C49="","",SUM(C$6:C49))</f>
        <v>2025</v>
      </c>
      <c r="D168">
        <f>IF(D49="","",SUM(D$6:D49))</f>
        <v>149</v>
      </c>
      <c r="E168">
        <f>IF(E49="","",SUM(E$6:E49))</f>
        <v>116</v>
      </c>
      <c r="F168">
        <f>IF(F49="","",SUM(F$6:F49))</f>
        <v>583</v>
      </c>
      <c r="G168">
        <f>IF(G49="","",SUM(G$6:G49))</f>
        <v>1047</v>
      </c>
      <c r="H168">
        <f>IF(H49="","",SUM(H$6:H49))</f>
        <v>1201</v>
      </c>
      <c r="I168">
        <f>IF(I49="","",SUM(I$6:I49))</f>
        <v>185</v>
      </c>
      <c r="J168">
        <f>IF(J49="","",SUM(J$6:J49))</f>
        <v>13</v>
      </c>
      <c r="K168">
        <f>IF(K49="","",SUM(K$6:K49))</f>
        <v>2844</v>
      </c>
      <c r="L168">
        <f>IF(L49="","",SUM(L$6:L49))</f>
        <v>2007</v>
      </c>
      <c r="M168">
        <f>IF(M49="","",SUM(M$6:M49))</f>
        <v>476</v>
      </c>
      <c r="N168">
        <f>IF(N49="","",SUM(N$6:N49))</f>
        <v>766</v>
      </c>
      <c r="O168">
        <f>IF(O49="","",SUM(O$6:O49))</f>
        <v>4524</v>
      </c>
      <c r="P168">
        <f>IF(P49="","",SUM(P$6:P49))</f>
        <v>2282</v>
      </c>
      <c r="Q168">
        <f>IF(Q49="","",SUM(Q$6:Q49))</f>
        <v>4267</v>
      </c>
      <c r="R168">
        <f>IF(R49="","",SUM(R$6:R49))</f>
        <v>1849</v>
      </c>
      <c r="S168">
        <f>IF(S49="","",SUM(S$6:S49))</f>
        <v>15619</v>
      </c>
      <c r="T168">
        <f>IF(T49="","",SUM(T$6:T49))</f>
        <v>509</v>
      </c>
      <c r="U168">
        <f>IF(U49="","",SUM(U$6:U49))</f>
        <v>694</v>
      </c>
      <c r="V168">
        <f>IF(V49="","",SUM(V$6:V49))</f>
        <v>5</v>
      </c>
      <c r="W168">
        <f>IF(W49="","",SUM(W$6:W49))</f>
        <v>6531</v>
      </c>
      <c r="X168">
        <f>IF(X49="","",SUM(X$6:X49))</f>
        <v>1550</v>
      </c>
      <c r="Y168">
        <f>IF(Y49="","",SUM(Y$6:Y49))</f>
        <v>923</v>
      </c>
      <c r="Z168">
        <f>IF(Z49="","",SUM(Z$6:Z49))</f>
        <v>10</v>
      </c>
      <c r="AA168">
        <f>IF(AA49="","",SUM(AA$6:AA49))</f>
        <v>12041</v>
      </c>
      <c r="AB168">
        <f>IF(AB49="","",SUM(AB$6:AB49))</f>
        <v>3194</v>
      </c>
      <c r="AC168">
        <f>IF(AC49="","",SUM(AC$6:AC49))</f>
        <v>1100</v>
      </c>
      <c r="AD168">
        <f>IF(AD49="","",SUM(AD$6:AD49))</f>
        <v>36</v>
      </c>
      <c r="AE168">
        <f>IF(AE49="","",SUM(AE$6:AE49))</f>
        <v>21121</v>
      </c>
      <c r="AF168">
        <f>IF(AF49="","",SUM(AF$6:AF49))</f>
        <v>27</v>
      </c>
      <c r="AG168">
        <f>IF(AG49="","",SUM(AG$6:AG49))</f>
        <v>2295</v>
      </c>
      <c r="AH168">
        <f>IF(AH49="","",SUM(AH$6:AH49))</f>
        <v>2</v>
      </c>
      <c r="AI168">
        <f>IF(AI49="","",SUM(AI$6:AI49))</f>
        <v>65</v>
      </c>
    </row>
    <row r="169" spans="1:35" x14ac:dyDescent="0.3">
      <c r="A169" s="3">
        <v>165</v>
      </c>
      <c r="B169">
        <f>IF(B50="","",SUM(B$6:B50))</f>
        <v>4</v>
      </c>
      <c r="C169">
        <f>IF(C50="","",SUM(C$6:C50))</f>
        <v>2251</v>
      </c>
      <c r="D169">
        <f>IF(D50="","",SUM(D$6:D50))</f>
        <v>412</v>
      </c>
      <c r="E169">
        <f>IF(E50="","",SUM(E$6:E50))</f>
        <v>116</v>
      </c>
      <c r="F169">
        <f>IF(F50="","",SUM(F$6:F50))</f>
        <v>749</v>
      </c>
      <c r="G169">
        <f>IF(G50="","",SUM(G$6:G50))</f>
        <v>2378</v>
      </c>
      <c r="H169">
        <f>IF(H50="","",SUM(H$6:H50))</f>
        <v>1206</v>
      </c>
      <c r="I169">
        <f>IF(I50="","",SUM(I$6:I50))</f>
        <v>189</v>
      </c>
      <c r="J169">
        <f>IF(J50="","",SUM(J$6:J50))</f>
        <v>91</v>
      </c>
      <c r="K169">
        <f>IF(K50="","",SUM(K$6:K50))</f>
        <v>3863</v>
      </c>
      <c r="L169">
        <f>IF(L50="","",SUM(L$6:L50))</f>
        <v>2537</v>
      </c>
      <c r="M169">
        <f>IF(M50="","",SUM(M$6:M50))</f>
        <v>476</v>
      </c>
      <c r="N169">
        <f>IF(N50="","",SUM(N$6:N50))</f>
        <v>766</v>
      </c>
      <c r="O169">
        <f>IF(O50="","",SUM(O$6:O50))</f>
        <v>5043</v>
      </c>
      <c r="P169">
        <f>IF(P50="","",SUM(P$6:P50))</f>
        <v>2505</v>
      </c>
      <c r="Q169">
        <f>IF(Q50="","",SUM(Q$6:Q50))</f>
        <v>6365</v>
      </c>
      <c r="R169">
        <f>IF(R50="","",SUM(R$6:R50))</f>
        <v>1975</v>
      </c>
      <c r="S169">
        <f>IF(S50="","",SUM(S$6:S50))</f>
        <v>15734</v>
      </c>
      <c r="T169">
        <f>IF(T50="","",SUM(T$6:T50))</f>
        <v>904</v>
      </c>
      <c r="U169">
        <f>IF(U50="","",SUM(U$6:U50))</f>
        <v>803</v>
      </c>
      <c r="V169">
        <f>IF(V50="","",SUM(V$6:V50))</f>
        <v>5</v>
      </c>
      <c r="W169">
        <f>IF(W50="","",SUM(W$6:W50))</f>
        <v>7292</v>
      </c>
      <c r="X169">
        <f>IF(X50="","",SUM(X$6:X50))</f>
        <v>1550</v>
      </c>
      <c r="Y169">
        <f>IF(Y50="","",SUM(Y$6:Y50))</f>
        <v>928</v>
      </c>
      <c r="Z169">
        <f>IF(Z50="","",SUM(Z$6:Z50))</f>
        <v>13</v>
      </c>
      <c r="AA169">
        <f>IF(AA50="","",SUM(AA$6:AA50))</f>
        <v>14211</v>
      </c>
      <c r="AB169">
        <f>IF(AB50="","",SUM(AB$6:AB50))</f>
        <v>5205</v>
      </c>
      <c r="AC169">
        <f>IF(AC50="","",SUM(AC$6:AC50))</f>
        <v>1351</v>
      </c>
      <c r="AD169">
        <f>IF(AD50="","",SUM(AD$6:AD50))</f>
        <v>37</v>
      </c>
      <c r="AE169">
        <f>IF(AE50="","",SUM(AE$6:AE50))</f>
        <v>24694</v>
      </c>
      <c r="AF169">
        <f>IF(AF50="","",SUM(AF$6:AF50))</f>
        <v>27</v>
      </c>
      <c r="AG169">
        <f>IF(AG50="","",SUM(AG$6:AG50))</f>
        <v>2302</v>
      </c>
      <c r="AH169">
        <f>IF(AH50="","",SUM(AH$6:AH50))</f>
        <v>2</v>
      </c>
      <c r="AI169">
        <f>IF(AI50="","",SUM(AI$6:AI50))</f>
        <v>990</v>
      </c>
    </row>
    <row r="170" spans="1:35" x14ac:dyDescent="0.3">
      <c r="A170" s="3">
        <v>166</v>
      </c>
      <c r="B170">
        <f>IF(B51="","",SUM(B$6:B51))</f>
        <v>4</v>
      </c>
      <c r="C170">
        <f>IF(C51="","",SUM(C$6:C51))</f>
        <v>2274</v>
      </c>
      <c r="D170">
        <f>IF(D51="","",SUM(D$6:D51))</f>
        <v>796</v>
      </c>
      <c r="E170">
        <f>IF(E51="","",SUM(E$6:E51))</f>
        <v>286</v>
      </c>
      <c r="F170">
        <f>IF(F51="","",SUM(F$6:F51))</f>
        <v>1017</v>
      </c>
      <c r="G170">
        <f>IF(G51="","",SUM(G$6:G51))</f>
        <v>2970</v>
      </c>
      <c r="H170">
        <f>IF(H51="","",SUM(H$6:H51))</f>
        <v>2214</v>
      </c>
      <c r="I170">
        <f>IF(I51="","",SUM(I$6:I51))</f>
        <v>209</v>
      </c>
      <c r="J170">
        <f>IF(J51="","",SUM(J$6:J51))</f>
        <v>98</v>
      </c>
      <c r="K170">
        <f>IF(K51="","",SUM(K$6:K51))</f>
        <v>4004</v>
      </c>
      <c r="L170">
        <f>IF(L51="","",SUM(L$6:L51))</f>
        <v>2537</v>
      </c>
      <c r="M170">
        <f>IF(M51="","",SUM(M$6:M51))</f>
        <v>1050</v>
      </c>
      <c r="N170">
        <f>IF(N51="","",SUM(N$6:N51))</f>
        <v>1024</v>
      </c>
      <c r="O170">
        <f>IF(O51="","",SUM(O$6:O51))</f>
        <v>5750</v>
      </c>
      <c r="P170">
        <f>IF(P51="","",SUM(P$6:P51))</f>
        <v>3970</v>
      </c>
      <c r="Q170">
        <f>IF(Q51="","",SUM(Q$6:Q51))</f>
        <v>7457</v>
      </c>
      <c r="R170">
        <f>IF(R51="","",SUM(R$6:R51))</f>
        <v>2303</v>
      </c>
      <c r="S170">
        <f>IF(S51="","",SUM(S$6:S51))</f>
        <v>16129</v>
      </c>
      <c r="T170">
        <f>IF(T51="","",SUM(T$6:T51))</f>
        <v>904</v>
      </c>
      <c r="U170">
        <f>IF(U51="","",SUM(U$6:U51))</f>
        <v>803</v>
      </c>
      <c r="V170">
        <f>IF(V51="","",SUM(V$6:V51))</f>
        <v>5</v>
      </c>
      <c r="W170">
        <f>IF(W51="","",SUM(W$6:W51))</f>
        <v>7513</v>
      </c>
      <c r="X170">
        <f>IF(X51="","",SUM(X$6:X51))</f>
        <v>1552</v>
      </c>
      <c r="Y170">
        <f>IF(Y51="","",SUM(Y$6:Y51))</f>
        <v>2496</v>
      </c>
      <c r="Z170">
        <f>IF(Z51="","",SUM(Z$6:Z51))</f>
        <v>15</v>
      </c>
      <c r="AA170">
        <f>IF(AA51="","",SUM(AA$6:AA51))</f>
        <v>16553</v>
      </c>
      <c r="AB170">
        <f>IF(AB51="","",SUM(AB$6:AB51))</f>
        <v>5346</v>
      </c>
      <c r="AC170">
        <f>IF(AC51="","",SUM(AC$6:AC51))</f>
        <v>1351</v>
      </c>
      <c r="AD170">
        <f>IF(AD51="","",SUM(AD$6:AD51))</f>
        <v>40</v>
      </c>
      <c r="AE170">
        <f>IF(AE51="","",SUM(AE$6:AE51))</f>
        <v>26084</v>
      </c>
      <c r="AF170">
        <f>IF(AF51="","",SUM(AF$6:AF51))</f>
        <v>33</v>
      </c>
      <c r="AG170">
        <f>IF(AG51="","",SUM(AG$6:AG51))</f>
        <v>2305</v>
      </c>
      <c r="AH170">
        <f>IF(AH51="","",SUM(AH$6:AH51))</f>
        <v>2</v>
      </c>
      <c r="AI170">
        <f>IF(AI51="","",SUM(AI$6:AI51))</f>
        <v>1335</v>
      </c>
    </row>
    <row r="171" spans="1:35" x14ac:dyDescent="0.3">
      <c r="A171" s="3">
        <v>167</v>
      </c>
      <c r="B171">
        <f>IF(B52="","",SUM(B$6:B52))</f>
        <v>4</v>
      </c>
      <c r="C171">
        <f>IF(C52="","",SUM(C$6:C52))</f>
        <v>2276</v>
      </c>
      <c r="D171">
        <f>IF(D52="","",SUM(D$6:D52))</f>
        <v>969</v>
      </c>
      <c r="E171">
        <f>IF(E52="","",SUM(E$6:E52))</f>
        <v>297</v>
      </c>
      <c r="F171">
        <f>IF(F52="","",SUM(F$6:F52))</f>
        <v>1173</v>
      </c>
      <c r="G171">
        <f>IF(G52="","",SUM(G$6:G52))</f>
        <v>3211</v>
      </c>
      <c r="H171">
        <f>IF(H52="","",SUM(H$6:H52))</f>
        <v>2936</v>
      </c>
      <c r="I171">
        <f>IF(I52="","",SUM(I$6:I52))</f>
        <v>474</v>
      </c>
      <c r="J171">
        <f>IF(J52="","",SUM(J$6:J52))</f>
        <v>102</v>
      </c>
      <c r="K171">
        <f>IF(K52="","",SUM(K$6:K52))</f>
        <v>4882</v>
      </c>
      <c r="L171">
        <f>IF(L52="","",SUM(L$6:L52))</f>
        <v>2548</v>
      </c>
      <c r="M171">
        <f>IF(M52="","",SUM(M$6:M52))</f>
        <v>1328</v>
      </c>
      <c r="N171">
        <f>IF(N52="","",SUM(N$6:N52))</f>
        <v>3387</v>
      </c>
      <c r="O171">
        <f>IF(O52="","",SUM(O$6:O52))</f>
        <v>6101</v>
      </c>
      <c r="P171">
        <f>IF(P52="","",SUM(P$6:P52))</f>
        <v>5427</v>
      </c>
      <c r="Q171">
        <f>IF(Q52="","",SUM(Q$6:Q52))</f>
        <v>7585</v>
      </c>
      <c r="R171">
        <f>IF(R52="","",SUM(R$6:R52))</f>
        <v>2584</v>
      </c>
      <c r="S171">
        <f>IF(S52="","",SUM(S$6:S52))</f>
        <v>16402</v>
      </c>
      <c r="T171">
        <f>IF(T52="","",SUM(T$6:T52))</f>
        <v>906</v>
      </c>
      <c r="U171">
        <f>IF(U52="","",SUM(U$6:U52))</f>
        <v>1117</v>
      </c>
      <c r="V171">
        <f>IF(V52="","",SUM(V$6:V52))</f>
        <v>5</v>
      </c>
      <c r="W171">
        <f>IF(W52="","",SUM(W$6:W52))</f>
        <v>7937</v>
      </c>
      <c r="X171">
        <f>IF(X52="","",SUM(X$6:X52))</f>
        <v>2567</v>
      </c>
      <c r="Y171">
        <f>IF(Y52="","",SUM(Y$6:Y52))</f>
        <v>3114</v>
      </c>
      <c r="Z171">
        <f>IF(Z52="","",SUM(Z$6:Z52))</f>
        <v>15</v>
      </c>
      <c r="AA171">
        <f>IF(AA52="","",SUM(AA$6:AA52))</f>
        <v>19996</v>
      </c>
      <c r="AB171">
        <f>IF(AB52="","",SUM(AB$6:AB52))</f>
        <v>5729</v>
      </c>
      <c r="AC171">
        <f>IF(AC52="","",SUM(AC$6:AC52))</f>
        <v>1740</v>
      </c>
      <c r="AD171">
        <f>IF(AD52="","",SUM(AD$6:AD52))</f>
        <v>73</v>
      </c>
      <c r="AE171">
        <f>IF(AE52="","",SUM(AE$6:AE52))</f>
        <v>26285</v>
      </c>
      <c r="AF171">
        <f>IF(AF52="","",SUM(AF$6:AF52))</f>
        <v>39</v>
      </c>
      <c r="AG171">
        <f>IF(AG52="","",SUM(AG$6:AG52))</f>
        <v>2359</v>
      </c>
      <c r="AH171">
        <f>IF(AH52="","",SUM(AH$6:AH52))</f>
        <v>2</v>
      </c>
      <c r="AI171">
        <f>IF(AI52="","",SUM(AI$6:AI52))</f>
        <v>4032</v>
      </c>
    </row>
    <row r="172" spans="1:35" x14ac:dyDescent="0.3">
      <c r="A172" s="3">
        <v>168</v>
      </c>
      <c r="B172">
        <f>IF(B53="","",SUM(B$6:B53))</f>
        <v>4</v>
      </c>
      <c r="C172">
        <f>IF(C53="","",SUM(C$6:C53))</f>
        <v>6868</v>
      </c>
      <c r="D172">
        <f>IF(D53="","",SUM(D$6:D53))</f>
        <v>1699</v>
      </c>
      <c r="E172">
        <f>IF(E53="","",SUM(E$6:E53))</f>
        <v>297</v>
      </c>
      <c r="F172">
        <f>IF(F53="","",SUM(F$6:F53))</f>
        <v>1201</v>
      </c>
      <c r="G172">
        <f>IF(G53="","",SUM(G$6:G53))</f>
        <v>3312</v>
      </c>
      <c r="H172">
        <f>IF(H53="","",SUM(H$6:H53))</f>
        <v>3302</v>
      </c>
      <c r="I172">
        <f>IF(I53="","",SUM(I$6:I53))</f>
        <v>681</v>
      </c>
      <c r="J172">
        <f>IF(J53="","",SUM(J$6:J53))</f>
        <v>192</v>
      </c>
      <c r="K172">
        <f>IF(K53="","",SUM(K$6:K53))</f>
        <v>4946</v>
      </c>
      <c r="L172">
        <f>IF(L53="","",SUM(L$6:L53))</f>
        <v>2789</v>
      </c>
      <c r="M172">
        <f>IF(M53="","",SUM(M$6:M53))</f>
        <v>1328</v>
      </c>
      <c r="N172">
        <f>IF(N53="","",SUM(N$6:N53))</f>
        <v>3398</v>
      </c>
      <c r="O172">
        <f>IF(O53="","",SUM(O$6:O53))</f>
        <v>6525</v>
      </c>
      <c r="P172">
        <f>IF(P53="","",SUM(P$6:P53))</f>
        <v>5537</v>
      </c>
      <c r="Q172">
        <f>IF(Q53="","",SUM(Q$6:Q53))</f>
        <v>7907</v>
      </c>
      <c r="R172">
        <f>IF(R53="","",SUM(R$6:R53))</f>
        <v>2588</v>
      </c>
      <c r="S172">
        <f>IF(S53="","",SUM(S$6:S53))</f>
        <v>16995</v>
      </c>
      <c r="T172">
        <f>IF(T53="","",SUM(T$6:T53))</f>
        <v>2204</v>
      </c>
      <c r="U172">
        <f>IF(U53="","",SUM(U$6:U53))</f>
        <v>1714</v>
      </c>
      <c r="V172">
        <f>IF(V53="","",SUM(V$6:V53))</f>
        <v>5</v>
      </c>
      <c r="W172">
        <f>IF(W53="","",SUM(W$6:W53))</f>
        <v>8170</v>
      </c>
      <c r="X172">
        <f>IF(X53="","",SUM(X$6:X53))</f>
        <v>2575</v>
      </c>
      <c r="Y172">
        <f>IF(Y53="","",SUM(Y$6:Y53))</f>
        <v>3117</v>
      </c>
      <c r="Z172">
        <f>IF(Z53="","",SUM(Z$6:Z53))</f>
        <v>17</v>
      </c>
      <c r="AA172">
        <f>IF(AA53="","",SUM(AA$6:AA53))</f>
        <v>22127</v>
      </c>
      <c r="AB172">
        <f>IF(AB53="","",SUM(AB$6:AB53))</f>
        <v>7812</v>
      </c>
      <c r="AC172">
        <f>IF(AC53="","",SUM(AC$6:AC53))</f>
        <v>2146</v>
      </c>
      <c r="AD172">
        <f>IF(AD53="","",SUM(AD$6:AD53))</f>
        <v>930</v>
      </c>
      <c r="AE172">
        <f>IF(AE53="","",SUM(AE$6:AE53))</f>
        <v>29157</v>
      </c>
      <c r="AF172">
        <f>IF(AF53="","",SUM(AF$6:AF53))</f>
        <v>51</v>
      </c>
      <c r="AG172">
        <f>IF(AG53="","",SUM(AG$6:AG53))</f>
        <v>3378</v>
      </c>
      <c r="AH172">
        <f>IF(AH53="","",SUM(AH$6:AH53))</f>
        <v>2</v>
      </c>
      <c r="AI172">
        <f>IF(AI53="","",SUM(AI$6:AI53))</f>
        <v>4618</v>
      </c>
    </row>
    <row r="173" spans="1:35" x14ac:dyDescent="0.3">
      <c r="A173" s="3">
        <v>169</v>
      </c>
      <c r="B173">
        <f>IF(B54="","",SUM(B$6:B54))</f>
        <v>7</v>
      </c>
      <c r="C173">
        <f>IF(C54="","",SUM(C$6:C54))</f>
        <v>8185</v>
      </c>
      <c r="D173">
        <f>IF(D54="","",SUM(D$6:D54))</f>
        <v>2714</v>
      </c>
      <c r="E173">
        <f>IF(E54="","",SUM(E$6:E54))</f>
        <v>297</v>
      </c>
      <c r="F173">
        <f>IF(F54="","",SUM(F$6:F54))</f>
        <v>2225</v>
      </c>
      <c r="G173">
        <f>IF(G54="","",SUM(G$6:G54))</f>
        <v>5498</v>
      </c>
      <c r="H173">
        <f>IF(H54="","",SUM(H$6:H54))</f>
        <v>3550</v>
      </c>
      <c r="I173">
        <f>IF(I54="","",SUM(I$6:I54))</f>
        <v>1343</v>
      </c>
      <c r="J173">
        <f>IF(J54="","",SUM(J$6:J54))</f>
        <v>420</v>
      </c>
      <c r="K173">
        <f>IF(K54="","",SUM(K$6:K54))</f>
        <v>4946</v>
      </c>
      <c r="L173">
        <f>IF(L54="","",SUM(L$6:L54))</f>
        <v>2967</v>
      </c>
      <c r="M173">
        <f>IF(M54="","",SUM(M$6:M54))</f>
        <v>1515</v>
      </c>
      <c r="N173">
        <f>IF(N54="","",SUM(N$6:N54))</f>
        <v>5005</v>
      </c>
      <c r="O173">
        <f>IF(O54="","",SUM(O$6:O54))</f>
        <v>8002</v>
      </c>
      <c r="P173">
        <f>IF(P54="","",SUM(P$6:P54))</f>
        <v>6155</v>
      </c>
      <c r="Q173">
        <f>IF(Q54="","",SUM(Q$6:Q54))</f>
        <v>9169</v>
      </c>
      <c r="R173">
        <f>IF(R54="","",SUM(R$6:R54))</f>
        <v>3532</v>
      </c>
      <c r="S173">
        <f>IF(S54="","",SUM(S$6:S54))</f>
        <v>18776</v>
      </c>
      <c r="T173">
        <f>IF(T54="","",SUM(T$6:T54))</f>
        <v>2637</v>
      </c>
      <c r="U173">
        <f>IF(U54="","",SUM(U$6:U54))</f>
        <v>2710</v>
      </c>
      <c r="V173">
        <f>IF(V54="","",SUM(V$6:V54))</f>
        <v>5</v>
      </c>
      <c r="W173">
        <f>IF(W54="","",SUM(W$6:W54))</f>
        <v>9056</v>
      </c>
      <c r="X173">
        <f>IF(X54="","",SUM(X$6:X54))</f>
        <v>2957</v>
      </c>
      <c r="Y173">
        <f>IF(Y54="","",SUM(Y$6:Y54))</f>
        <v>3584</v>
      </c>
      <c r="Z173">
        <f>IF(Z54="","",SUM(Z$6:Z54))</f>
        <v>49</v>
      </c>
      <c r="AA173">
        <f>IF(AA54="","",SUM(AA$6:AA54))</f>
        <v>23075</v>
      </c>
      <c r="AB173">
        <f>IF(AB54="","",SUM(AB$6:AB54))</f>
        <v>7812</v>
      </c>
      <c r="AC173">
        <f>IF(AC54="","",SUM(AC$6:AC54))</f>
        <v>2239</v>
      </c>
      <c r="AD173">
        <f>IF(AD54="","",SUM(AD$6:AD54))</f>
        <v>1203</v>
      </c>
      <c r="AE173">
        <f>IF(AE54="","",SUM(AE$6:AE54))</f>
        <v>33845</v>
      </c>
      <c r="AF173">
        <f>IF(AF54="","",SUM(AF$6:AF54))</f>
        <v>288</v>
      </c>
      <c r="AG173">
        <f>IF(AG54="","",SUM(AG$6:AG54))</f>
        <v>3392</v>
      </c>
      <c r="AH173">
        <f>IF(AH54="","",SUM(AH$6:AH54))</f>
        <v>4</v>
      </c>
      <c r="AI173">
        <f>IF(AI54="","",SUM(AI$6:AI54))</f>
        <v>4647</v>
      </c>
    </row>
    <row r="174" spans="1:35" x14ac:dyDescent="0.3">
      <c r="A174" s="3">
        <v>170</v>
      </c>
      <c r="B174">
        <f>IF(B55="","",SUM(B$6:B55))</f>
        <v>9</v>
      </c>
      <c r="C174">
        <f>IF(C55="","",SUM(C$6:C55))</f>
        <v>9691</v>
      </c>
      <c r="D174">
        <f>IF(D55="","",SUM(D$6:D55))</f>
        <v>4846</v>
      </c>
      <c r="E174">
        <f>IF(E55="","",SUM(E$6:E55))</f>
        <v>1453</v>
      </c>
      <c r="F174">
        <f>IF(F55="","",SUM(F$6:F55))</f>
        <v>2585</v>
      </c>
      <c r="G174">
        <f>IF(G55="","",SUM(G$6:G55))</f>
        <v>5791</v>
      </c>
      <c r="H174">
        <f>IF(H55="","",SUM(H$6:H55))</f>
        <v>3593</v>
      </c>
      <c r="I174">
        <f>IF(I55="","",SUM(I$6:I55))</f>
        <v>1400</v>
      </c>
      <c r="J174">
        <f>IF(J55="","",SUM(J$6:J55))</f>
        <v>482</v>
      </c>
      <c r="K174">
        <f>IF(K55="","",SUM(K$6:K55))</f>
        <v>5672</v>
      </c>
      <c r="L174">
        <f>IF(L55="","",SUM(L$6:L55))</f>
        <v>2967</v>
      </c>
      <c r="M174">
        <f>IF(M55="","",SUM(M$6:M55))</f>
        <v>1565</v>
      </c>
      <c r="N174">
        <f>IF(N55="","",SUM(N$6:N55))</f>
        <v>7148</v>
      </c>
      <c r="O174">
        <f>IF(O55="","",SUM(O$6:O55))</f>
        <v>8087</v>
      </c>
      <c r="P174">
        <f>IF(P55="","",SUM(P$6:P55))</f>
        <v>6249</v>
      </c>
      <c r="Q174">
        <f>IF(Q55="","",SUM(Q$6:Q55))</f>
        <v>9669</v>
      </c>
      <c r="R174">
        <f>IF(R55="","",SUM(R$6:R55))</f>
        <v>4426</v>
      </c>
      <c r="S174">
        <f>IF(S55="","",SUM(S$6:S55))</f>
        <v>19172</v>
      </c>
      <c r="T174">
        <f>IF(T55="","",SUM(T$6:T55))</f>
        <v>2663</v>
      </c>
      <c r="U174">
        <f>IF(U55="","",SUM(U$6:U55))</f>
        <v>3366</v>
      </c>
      <c r="V174">
        <f>IF(V55="","",SUM(V$6:V55))</f>
        <v>5</v>
      </c>
      <c r="W174">
        <f>IF(W55="","",SUM(W$6:W55))</f>
        <v>10589</v>
      </c>
      <c r="X174">
        <f>IF(X55="","",SUM(X$6:X55))</f>
        <v>4323</v>
      </c>
      <c r="Y174">
        <f>IF(Y55="","",SUM(Y$6:Y55))</f>
        <v>3758</v>
      </c>
      <c r="Z174">
        <f>IF(Z55="","",SUM(Z$6:Z55))</f>
        <v>393</v>
      </c>
      <c r="AA174">
        <f>IF(AA55="","",SUM(AA$6:AA55))</f>
        <v>23756</v>
      </c>
      <c r="AB174">
        <f>IF(AB55="","",SUM(AB$6:AB55))</f>
        <v>9038</v>
      </c>
      <c r="AC174">
        <f>IF(AC55="","",SUM(AC$6:AC55))</f>
        <v>2297</v>
      </c>
      <c r="AD174">
        <f>IF(AD55="","",SUM(AD$6:AD55))</f>
        <v>1306</v>
      </c>
      <c r="AE174">
        <f>IF(AE55="","",SUM(AE$6:AE55))</f>
        <v>33906</v>
      </c>
      <c r="AF174">
        <f>IF(AF55="","",SUM(AF$6:AF55))</f>
        <v>426</v>
      </c>
      <c r="AG174">
        <f>IF(AG55="","",SUM(AG$6:AG55))</f>
        <v>4069</v>
      </c>
      <c r="AH174">
        <f>IF(AH55="","",SUM(AH$6:AH55))</f>
        <v>5</v>
      </c>
      <c r="AI174">
        <f>IF(AI55="","",SUM(AI$6:AI55))</f>
        <v>5371</v>
      </c>
    </row>
    <row r="175" spans="1:35" x14ac:dyDescent="0.3">
      <c r="A175" s="3">
        <v>171</v>
      </c>
      <c r="B175">
        <f>IF(B56="","",SUM(B$6:B56))</f>
        <v>12</v>
      </c>
      <c r="C175">
        <f>IF(C56="","",SUM(C$6:C56))</f>
        <v>10331</v>
      </c>
      <c r="D175">
        <f>IF(D56="","",SUM(D$6:D56))</f>
        <v>4880</v>
      </c>
      <c r="E175">
        <f>IF(E56="","",SUM(E$6:E56))</f>
        <v>2939</v>
      </c>
      <c r="F175">
        <f>IF(F56="","",SUM(F$6:F56))</f>
        <v>3027</v>
      </c>
      <c r="G175">
        <f>IF(G56="","",SUM(G$6:G56))</f>
        <v>8288</v>
      </c>
      <c r="H175">
        <f>IF(H56="","",SUM(H$6:H56))</f>
        <v>3641</v>
      </c>
      <c r="I175">
        <f>IF(I56="","",SUM(I$6:I56))</f>
        <v>2491</v>
      </c>
      <c r="J175">
        <f>IF(J56="","",SUM(J$6:J56))</f>
        <v>1771</v>
      </c>
      <c r="K175">
        <f>IF(K56="","",SUM(K$6:K56))</f>
        <v>6388</v>
      </c>
      <c r="L175">
        <f>IF(L56="","",SUM(L$6:L56))</f>
        <v>3099</v>
      </c>
      <c r="M175">
        <f>IF(M56="","",SUM(M$6:M56))</f>
        <v>1819</v>
      </c>
      <c r="N175">
        <f>IF(N56="","",SUM(N$6:N56))</f>
        <v>7230</v>
      </c>
      <c r="O175">
        <f>IF(O56="","",SUM(O$6:O56))</f>
        <v>8396</v>
      </c>
      <c r="P175">
        <f>IF(P56="","",SUM(P$6:P56))</f>
        <v>8134</v>
      </c>
      <c r="Q175">
        <f>IF(Q56="","",SUM(Q$6:Q56))</f>
        <v>9943</v>
      </c>
      <c r="R175">
        <f>IF(R56="","",SUM(R$6:R56))</f>
        <v>4660</v>
      </c>
      <c r="S175">
        <f>IF(S56="","",SUM(S$6:S56))</f>
        <v>20977</v>
      </c>
      <c r="T175">
        <f>IF(T56="","",SUM(T$6:T56))</f>
        <v>2753</v>
      </c>
      <c r="U175">
        <f>IF(U56="","",SUM(U$6:U56))</f>
        <v>4379</v>
      </c>
      <c r="V175">
        <f>IF(V56="","",SUM(V$6:V56))</f>
        <v>5</v>
      </c>
      <c r="W175">
        <f>IF(W56="","",SUM(W$6:W56))</f>
        <v>10957</v>
      </c>
      <c r="X175">
        <f>IF(X56="","",SUM(X$6:X56))</f>
        <v>8062</v>
      </c>
      <c r="Y175">
        <f>IF(Y56="","",SUM(Y$6:Y56))</f>
        <v>4234</v>
      </c>
      <c r="Z175">
        <f>IF(Z56="","",SUM(Z$6:Z56))</f>
        <v>393</v>
      </c>
      <c r="AA175">
        <f>IF(AA56="","",SUM(AA$6:AA56))</f>
        <v>25651</v>
      </c>
      <c r="AB175">
        <f>IF(AB56="","",SUM(AB$6:AB56))</f>
        <v>9661</v>
      </c>
      <c r="AC175">
        <f>IF(AC56="","",SUM(AC$6:AC56))</f>
        <v>3326</v>
      </c>
      <c r="AD175">
        <f>IF(AD56="","",SUM(AD$6:AD56))</f>
        <v>1431</v>
      </c>
      <c r="AE175">
        <f>IF(AE56="","",SUM(AE$6:AE56))</f>
        <v>34149</v>
      </c>
      <c r="AF175">
        <f>IF(AF56="","",SUM(AF$6:AF56))</f>
        <v>524</v>
      </c>
      <c r="AG175">
        <f>IF(AG56="","",SUM(AG$6:AG56))</f>
        <v>4131</v>
      </c>
      <c r="AH175">
        <f>IF(AH56="","",SUM(AH$6:AH56))</f>
        <v>350</v>
      </c>
      <c r="AI175">
        <f>IF(AI56="","",SUM(AI$6:AI56))</f>
        <v>5488</v>
      </c>
    </row>
    <row r="176" spans="1:35" x14ac:dyDescent="0.3">
      <c r="A176" s="3">
        <v>172</v>
      </c>
      <c r="B176">
        <f>IF(B57="","",SUM(B$6:B57))</f>
        <v>14</v>
      </c>
      <c r="C176">
        <f>IF(C57="","",SUM(C$6:C57))</f>
        <v>13299</v>
      </c>
      <c r="D176">
        <f>IF(D57="","",SUM(D$6:D57))</f>
        <v>8190</v>
      </c>
      <c r="E176">
        <f>IF(E57="","",SUM(E$6:E57))</f>
        <v>4665</v>
      </c>
      <c r="F176">
        <f>IF(F57="","",SUM(F$6:F57))</f>
        <v>3676</v>
      </c>
      <c r="G176">
        <f>IF(G57="","",SUM(G$6:G57))</f>
        <v>8288</v>
      </c>
      <c r="H176">
        <f>IF(H57="","",SUM(H$6:H57))</f>
        <v>4160</v>
      </c>
      <c r="I176">
        <f>IF(I57="","",SUM(I$6:I57))</f>
        <v>3420</v>
      </c>
      <c r="J176">
        <f>IF(J57="","",SUM(J$6:J57))</f>
        <v>4628</v>
      </c>
      <c r="K176">
        <f>IF(K57="","",SUM(K$6:K57))</f>
        <v>6625</v>
      </c>
      <c r="L176">
        <f>IF(L57="","",SUM(L$6:L57))</f>
        <v>4290</v>
      </c>
      <c r="M176">
        <f>IF(M57="","",SUM(M$6:M57))</f>
        <v>4391</v>
      </c>
      <c r="N176">
        <f>IF(N57="","",SUM(N$6:N57))</f>
        <v>8452</v>
      </c>
      <c r="O176">
        <f>IF(O57="","",SUM(O$6:O57))</f>
        <v>8540</v>
      </c>
      <c r="P176">
        <f>IF(P57="","",SUM(P$6:P57))</f>
        <v>9364</v>
      </c>
      <c r="Q176">
        <f>IF(Q57="","",SUM(Q$6:Q57))</f>
        <v>10429</v>
      </c>
      <c r="R176">
        <f>IF(R57="","",SUM(R$6:R57))</f>
        <v>6606</v>
      </c>
      <c r="S176">
        <f>IF(S57="","",SUM(S$6:S57))</f>
        <v>21124</v>
      </c>
      <c r="T176">
        <f>IF(T57="","",SUM(T$6:T57))</f>
        <v>2765</v>
      </c>
      <c r="U176">
        <f>IF(U57="","",SUM(U$6:U57))</f>
        <v>4672</v>
      </c>
      <c r="V176">
        <f>IF(V57="","",SUM(V$6:V57))</f>
        <v>245</v>
      </c>
      <c r="W176">
        <f>IF(W57="","",SUM(W$6:W57))</f>
        <v>13171</v>
      </c>
      <c r="X176">
        <f>IF(X57="","",SUM(X$6:X57))</f>
        <v>10656</v>
      </c>
      <c r="Y176">
        <f>IF(Y57="","",SUM(Y$6:Y57))</f>
        <v>4317</v>
      </c>
      <c r="Z176">
        <f>IF(Z57="","",SUM(Z$6:Z57))</f>
        <v>409</v>
      </c>
      <c r="AA176">
        <f>IF(AA57="","",SUM(AA$6:AA57))</f>
        <v>28109</v>
      </c>
      <c r="AB176">
        <f>IF(AB57="","",SUM(AB$6:AB57))</f>
        <v>9985</v>
      </c>
      <c r="AC176">
        <f>IF(AC57="","",SUM(AC$6:AC57))</f>
        <v>3378</v>
      </c>
      <c r="AD176">
        <f>IF(AD57="","",SUM(AD$6:AD57))</f>
        <v>1434</v>
      </c>
      <c r="AE176">
        <f>IF(AE57="","",SUM(AE$6:AE57))</f>
        <v>34239</v>
      </c>
      <c r="AF176">
        <f>IF(AF57="","",SUM(AF$6:AF57))</f>
        <v>559</v>
      </c>
      <c r="AG176">
        <f>IF(AG57="","",SUM(AG$6:AG57))</f>
        <v>4147</v>
      </c>
      <c r="AH176">
        <f>IF(AH57="","",SUM(AH$6:AH57))</f>
        <v>350</v>
      </c>
      <c r="AI176">
        <f>IF(AI57="","",SUM(AI$6:AI57))</f>
        <v>10073</v>
      </c>
    </row>
    <row r="177" spans="1:35" x14ac:dyDescent="0.3">
      <c r="A177" s="3">
        <v>173</v>
      </c>
      <c r="B177">
        <f>IF(B58="","",SUM(B$6:B58))</f>
        <v>14</v>
      </c>
      <c r="C177">
        <f>IF(C58="","",SUM(C$6:C58))</f>
        <v>14179</v>
      </c>
      <c r="D177">
        <f>IF(D58="","",SUM(D$6:D58))</f>
        <v>8297</v>
      </c>
      <c r="E177">
        <f>IF(E58="","",SUM(E$6:E58))</f>
        <v>7632</v>
      </c>
      <c r="F177">
        <f>IF(F58="","",SUM(F$6:F58))</f>
        <v>4284</v>
      </c>
      <c r="G177">
        <f>IF(G58="","",SUM(G$6:G58))</f>
        <v>9027</v>
      </c>
      <c r="H177">
        <f>IF(H58="","",SUM(H$6:H58))</f>
        <v>5519</v>
      </c>
      <c r="I177">
        <f>IF(I58="","",SUM(I$6:I58))</f>
        <v>5306</v>
      </c>
      <c r="J177">
        <f>IF(J58="","",SUM(J$6:J58))</f>
        <v>5968</v>
      </c>
      <c r="K177">
        <f>IF(K58="","",SUM(K$6:K58))</f>
        <v>6876</v>
      </c>
      <c r="L177">
        <f>IF(L58="","",SUM(L$6:L58))</f>
        <v>6245</v>
      </c>
      <c r="M177">
        <f>IF(M58="","",SUM(M$6:M58))</f>
        <v>4397</v>
      </c>
      <c r="N177">
        <f>IF(N58="","",SUM(N$6:N58))</f>
        <v>8874</v>
      </c>
      <c r="O177">
        <f>IF(O58="","",SUM(O$6:O58))</f>
        <v>9250</v>
      </c>
      <c r="P177">
        <f>IF(P58="","",SUM(P$6:P58))</f>
        <v>11887</v>
      </c>
      <c r="Q177">
        <f>IF(Q58="","",SUM(Q$6:Q58))</f>
        <v>11795</v>
      </c>
      <c r="R177">
        <f>IF(R58="","",SUM(R$6:R58))</f>
        <v>6680</v>
      </c>
      <c r="S177">
        <f>IF(S58="","",SUM(S$6:S58))</f>
        <v>21810</v>
      </c>
      <c r="T177">
        <f>IF(T58="","",SUM(T$6:T58))</f>
        <v>2930</v>
      </c>
      <c r="U177">
        <f>IF(U58="","",SUM(U$6:U58))</f>
        <v>4715</v>
      </c>
      <c r="V177">
        <f>IF(V58="","",SUM(V$6:V58))</f>
        <v>576</v>
      </c>
      <c r="W177">
        <f>IF(W58="","",SUM(W$6:W58))</f>
        <v>14399</v>
      </c>
      <c r="X177">
        <f>IF(X58="","",SUM(X$6:X58))</f>
        <v>10656</v>
      </c>
      <c r="Y177">
        <f>IF(Y58="","",SUM(Y$6:Y58))</f>
        <v>7470</v>
      </c>
      <c r="Z177">
        <f>IF(Z58="","",SUM(Z$6:Z58))</f>
        <v>1178</v>
      </c>
      <c r="AA177">
        <f>IF(AA58="","",SUM(AA$6:AA58))</f>
        <v>30444</v>
      </c>
      <c r="AB177">
        <f>IF(AB58="","",SUM(AB$6:AB58))</f>
        <v>10712</v>
      </c>
      <c r="AC177">
        <f>IF(AC58="","",SUM(AC$6:AC58))</f>
        <v>3707</v>
      </c>
      <c r="AD177">
        <f>IF(AD58="","",SUM(AD$6:AD58))</f>
        <v>2573</v>
      </c>
      <c r="AE177">
        <f>IF(AE58="","",SUM(AE$6:AE58))</f>
        <v>34278</v>
      </c>
      <c r="AF177">
        <f>IF(AF58="","",SUM(AF$6:AF58))</f>
        <v>574</v>
      </c>
      <c r="AG177">
        <f>IF(AG58="","",SUM(AG$6:AG58))</f>
        <v>4523</v>
      </c>
      <c r="AH177">
        <f>IF(AH58="","",SUM(AH$6:AH58))</f>
        <v>350</v>
      </c>
      <c r="AI177">
        <f>IF(AI58="","",SUM(AI$6:AI58))</f>
        <v>10164</v>
      </c>
    </row>
    <row r="178" spans="1:35" x14ac:dyDescent="0.3">
      <c r="A178" s="3">
        <v>174</v>
      </c>
      <c r="B178">
        <f>IF(B59="","",SUM(B$6:B59))</f>
        <v>971</v>
      </c>
      <c r="C178">
        <f>IF(C59="","",SUM(C$6:C59))</f>
        <v>15828</v>
      </c>
      <c r="D178">
        <f>IF(D59="","",SUM(D$6:D59))</f>
        <v>9732</v>
      </c>
      <c r="E178">
        <f>IF(E59="","",SUM(E$6:E59))</f>
        <v>7755</v>
      </c>
      <c r="F178">
        <f>IF(F59="","",SUM(F$6:F59))</f>
        <v>5243</v>
      </c>
      <c r="G178">
        <f>IF(G59="","",SUM(G$6:G59))</f>
        <v>10832</v>
      </c>
      <c r="H178">
        <f>IF(H59="","",SUM(H$6:H59))</f>
        <v>8159</v>
      </c>
      <c r="I178">
        <f>IF(I59="","",SUM(I$6:I59))</f>
        <v>6605</v>
      </c>
      <c r="J178">
        <f>IF(J59="","",SUM(J$6:J59))</f>
        <v>6444</v>
      </c>
      <c r="K178">
        <f>IF(K59="","",SUM(K$6:K59))</f>
        <v>8206</v>
      </c>
      <c r="L178">
        <f>IF(L59="","",SUM(L$6:L59))</f>
        <v>6622</v>
      </c>
      <c r="M178">
        <f>IF(M59="","",SUM(M$6:M59))</f>
        <v>5650</v>
      </c>
      <c r="N178">
        <f>IF(N59="","",SUM(N$6:N59))</f>
        <v>8888</v>
      </c>
      <c r="O178">
        <f>IF(O59="","",SUM(O$6:O59))</f>
        <v>10212</v>
      </c>
      <c r="P178">
        <f>IF(P59="","",SUM(P$6:P59))</f>
        <v>13120</v>
      </c>
      <c r="Q178">
        <f>IF(Q59="","",SUM(Q$6:Q59))</f>
        <v>12112</v>
      </c>
      <c r="R178">
        <f>IF(R59="","",SUM(R$6:R59))</f>
        <v>6755</v>
      </c>
      <c r="S178">
        <f>IF(S59="","",SUM(S$6:S59))</f>
        <v>23854</v>
      </c>
      <c r="T178">
        <f>IF(T59="","",SUM(T$6:T59))</f>
        <v>5093</v>
      </c>
      <c r="U178">
        <f>IF(U59="","",SUM(U$6:U59))</f>
        <v>4747</v>
      </c>
      <c r="V178">
        <f>IF(V59="","",SUM(V$6:V59))</f>
        <v>2079</v>
      </c>
      <c r="W178">
        <f>IF(W59="","",SUM(W$6:W59))</f>
        <v>14806</v>
      </c>
      <c r="X178">
        <f>IF(X59="","",SUM(X$6:X59))</f>
        <v>12342</v>
      </c>
      <c r="Y178">
        <f>IF(Y59="","",SUM(Y$6:Y59))</f>
        <v>9623</v>
      </c>
      <c r="Z178">
        <f>IF(Z59="","",SUM(Z$6:Z59))</f>
        <v>4231</v>
      </c>
      <c r="AA178">
        <f>IF(AA59="","",SUM(AA$6:AA59))</f>
        <v>31677</v>
      </c>
      <c r="AB178">
        <f>IF(AB59="","",SUM(AB$6:AB59))</f>
        <v>12338</v>
      </c>
      <c r="AC178">
        <f>IF(AC59="","",SUM(AC$6:AC59))</f>
        <v>3854</v>
      </c>
      <c r="AD178">
        <f>IF(AD59="","",SUM(AD$6:AD59))</f>
        <v>3230</v>
      </c>
      <c r="AE178">
        <f>IF(AE59="","",SUM(AE$6:AE59))</f>
        <v>34492</v>
      </c>
      <c r="AF178">
        <f>IF(AF59="","",SUM(AF$6:AF59))</f>
        <v>574</v>
      </c>
      <c r="AG178">
        <f>IF(AG59="","",SUM(AG$6:AG59))</f>
        <v>6064</v>
      </c>
      <c r="AH178">
        <f>IF(AH59="","",SUM(AH$6:AH59))</f>
        <v>652</v>
      </c>
      <c r="AI178">
        <f>IF(AI59="","",SUM(AI$6:AI59))</f>
        <v>10165</v>
      </c>
    </row>
    <row r="179" spans="1:35" x14ac:dyDescent="0.3">
      <c r="A179" s="3">
        <v>175</v>
      </c>
      <c r="B179">
        <f>IF(B60="","",SUM(B$6:B60))</f>
        <v>971</v>
      </c>
      <c r="C179">
        <f>IF(C60="","",SUM(C$6:C60))</f>
        <v>18125</v>
      </c>
      <c r="D179">
        <f>IF(D60="","",SUM(D$6:D60))</f>
        <v>9821</v>
      </c>
      <c r="E179">
        <f>IF(E60="","",SUM(E$6:E60))</f>
        <v>7787</v>
      </c>
      <c r="F179">
        <f>IF(F60="","",SUM(F$6:F60))</f>
        <v>5928</v>
      </c>
      <c r="G179">
        <f>IF(G60="","",SUM(G$6:G60))</f>
        <v>13175</v>
      </c>
      <c r="H179">
        <f>IF(H60="","",SUM(H$6:H60))</f>
        <v>8367</v>
      </c>
      <c r="I179">
        <f>IF(I60="","",SUM(I$6:I60))</f>
        <v>9692</v>
      </c>
      <c r="J179">
        <f>IF(J60="","",SUM(J$6:J60))</f>
        <v>8454</v>
      </c>
      <c r="K179">
        <f>IF(K60="","",SUM(K$6:K60))</f>
        <v>8320</v>
      </c>
      <c r="L179">
        <f>IF(L60="","",SUM(L$6:L60))</f>
        <v>6706</v>
      </c>
      <c r="M179">
        <f>IF(M60="","",SUM(M$6:M60))</f>
        <v>6169</v>
      </c>
      <c r="N179">
        <f>IF(N60="","",SUM(N$6:N60))</f>
        <v>9155</v>
      </c>
      <c r="O179">
        <f>IF(O60="","",SUM(O$6:O60))</f>
        <v>12150</v>
      </c>
      <c r="P179">
        <f>IF(P60="","",SUM(P$6:P60))</f>
        <v>14977</v>
      </c>
      <c r="Q179">
        <f>IF(Q60="","",SUM(Q$6:Q60))</f>
        <v>13652</v>
      </c>
      <c r="R179">
        <f>IF(R60="","",SUM(R$6:R60))</f>
        <v>7507</v>
      </c>
      <c r="S179">
        <f>IF(S60="","",SUM(S$6:S60))</f>
        <v>25967</v>
      </c>
      <c r="T179">
        <f>IF(T60="","",SUM(T$6:T60))</f>
        <v>5703</v>
      </c>
      <c r="U179">
        <f>IF(U60="","",SUM(U$6:U60))</f>
        <v>5681</v>
      </c>
      <c r="V179">
        <f>IF(V60="","",SUM(V$6:V60))</f>
        <v>2121</v>
      </c>
      <c r="W179">
        <f>IF(W60="","",SUM(W$6:W60))</f>
        <v>16983</v>
      </c>
      <c r="X179">
        <f>IF(X60="","",SUM(X$6:X60))</f>
        <v>13685</v>
      </c>
      <c r="Y179">
        <f>IF(Y60="","",SUM(Y$6:Y60))</f>
        <v>10332</v>
      </c>
      <c r="Z179">
        <f>IF(Z60="","",SUM(Z$6:Z60))</f>
        <v>4693</v>
      </c>
      <c r="AA179">
        <f>IF(AA60="","",SUM(AA$6:AA60))</f>
        <v>32929</v>
      </c>
      <c r="AB179">
        <f>IF(AB60="","",SUM(AB$6:AB60))</f>
        <v>13706</v>
      </c>
      <c r="AC179">
        <f>IF(AC60="","",SUM(AC$6:AC60))</f>
        <v>4598</v>
      </c>
      <c r="AD179">
        <f>IF(AD60="","",SUM(AD$6:AD60))</f>
        <v>4076</v>
      </c>
      <c r="AE179">
        <f>IF(AE60="","",SUM(AE$6:AE60))</f>
        <v>34678</v>
      </c>
      <c r="AF179">
        <f>IF(AF60="","",SUM(AF$6:AF60))</f>
        <v>670</v>
      </c>
      <c r="AG179">
        <f>IF(AG60="","",SUM(AG$6:AG60))</f>
        <v>6472</v>
      </c>
      <c r="AH179">
        <f>IF(AH60="","",SUM(AH$6:AH60))</f>
        <v>4026</v>
      </c>
      <c r="AI179">
        <f>IF(AI60="","",SUM(AI$6:AI60))</f>
        <v>13387</v>
      </c>
    </row>
    <row r="180" spans="1:35" x14ac:dyDescent="0.3">
      <c r="A180" s="3">
        <v>176</v>
      </c>
      <c r="B180">
        <f>IF(B61="","",SUM(B$6:B61))</f>
        <v>985</v>
      </c>
      <c r="C180">
        <f>IF(C61="","",SUM(C$6:C61))</f>
        <v>20372</v>
      </c>
      <c r="D180">
        <f>IF(D61="","",SUM(D$6:D61))</f>
        <v>10825</v>
      </c>
      <c r="E180">
        <f>IF(E61="","",SUM(E$6:E61))</f>
        <v>9310</v>
      </c>
      <c r="F180">
        <f>IF(F61="","",SUM(F$6:F61))</f>
        <v>6869</v>
      </c>
      <c r="G180">
        <f>IF(G61="","",SUM(G$6:G61))</f>
        <v>13419</v>
      </c>
      <c r="H180">
        <f>IF(H61="","",SUM(H$6:H61))</f>
        <v>10077</v>
      </c>
      <c r="I180">
        <f>IF(I61="","",SUM(I$6:I61))</f>
        <v>9830</v>
      </c>
      <c r="J180">
        <f>IF(J61="","",SUM(J$6:J61))</f>
        <v>8788</v>
      </c>
      <c r="K180">
        <f>IF(K61="","",SUM(K$6:K61))</f>
        <v>8633</v>
      </c>
      <c r="L180">
        <f>IF(L61="","",SUM(L$6:L61))</f>
        <v>6708</v>
      </c>
      <c r="M180">
        <f>IF(M61="","",SUM(M$6:M61))</f>
        <v>7148</v>
      </c>
      <c r="N180">
        <f>IF(N61="","",SUM(N$6:N61))</f>
        <v>9279</v>
      </c>
      <c r="O180">
        <f>IF(O61="","",SUM(O$6:O61))</f>
        <v>13016</v>
      </c>
      <c r="P180">
        <f>IF(P61="","",SUM(P$6:P61))</f>
        <v>16223</v>
      </c>
      <c r="Q180">
        <f>IF(Q61="","",SUM(Q$6:Q61))</f>
        <v>14324</v>
      </c>
      <c r="R180">
        <f>IF(R61="","",SUM(R$6:R61))</f>
        <v>8012</v>
      </c>
      <c r="S180">
        <f>IF(S61="","",SUM(S$6:S61))</f>
        <v>27154</v>
      </c>
      <c r="T180">
        <f>IF(T61="","",SUM(T$6:T61))</f>
        <v>6968</v>
      </c>
      <c r="U180">
        <f>IF(U61="","",SUM(U$6:U61))</f>
        <v>5913</v>
      </c>
      <c r="V180">
        <f>IF(V61="","",SUM(V$6:V61))</f>
        <v>2513</v>
      </c>
      <c r="W180">
        <f>IF(W61="","",SUM(W$6:W61))</f>
        <v>18274</v>
      </c>
      <c r="X180">
        <f>IF(X61="","",SUM(X$6:X61))</f>
        <v>14708</v>
      </c>
      <c r="Y180">
        <f>IF(Y61="","",SUM(Y$6:Y61))</f>
        <v>11046</v>
      </c>
      <c r="Z180">
        <f>IF(Z61="","",SUM(Z$6:Z61))</f>
        <v>4758</v>
      </c>
      <c r="AA180">
        <f>IF(AA61="","",SUM(AA$6:AA61))</f>
        <v>35517</v>
      </c>
      <c r="AB180">
        <f>IF(AB61="","",SUM(AB$6:AB61))</f>
        <v>15246</v>
      </c>
      <c r="AC180">
        <f>IF(AC61="","",SUM(AC$6:AC61))</f>
        <v>4736</v>
      </c>
      <c r="AD180">
        <f>IF(AD61="","",SUM(AD$6:AD61))</f>
        <v>4088</v>
      </c>
      <c r="AE180">
        <f>IF(AE61="","",SUM(AE$6:AE61))</f>
        <v>35468</v>
      </c>
      <c r="AF180">
        <f>IF(AF61="","",SUM(AF$6:AF61))</f>
        <v>1394</v>
      </c>
      <c r="AG180">
        <f>IF(AG61="","",SUM(AG$6:AG61))</f>
        <v>6910</v>
      </c>
      <c r="AH180">
        <f>IF(AH61="","",SUM(AH$6:AH61))</f>
        <v>4673</v>
      </c>
      <c r="AI180">
        <f>IF(AI61="","",SUM(AI$6:AI61))</f>
        <v>14774</v>
      </c>
    </row>
    <row r="181" spans="1:35" x14ac:dyDescent="0.3">
      <c r="A181" s="3">
        <v>177</v>
      </c>
      <c r="B181">
        <f>IF(B62="","",SUM(B$6:B62))</f>
        <v>990</v>
      </c>
      <c r="C181">
        <f>IF(C62="","",SUM(C$6:C62))</f>
        <v>20876</v>
      </c>
      <c r="D181">
        <f>IF(D62="","",SUM(D$6:D62))</f>
        <v>15841</v>
      </c>
      <c r="E181">
        <f>IF(E62="","",SUM(E$6:E62))</f>
        <v>9513</v>
      </c>
      <c r="F181">
        <f>IF(F62="","",SUM(F$6:F62))</f>
        <v>7397</v>
      </c>
      <c r="G181">
        <f>IF(G62="","",SUM(G$6:G62))</f>
        <v>14264</v>
      </c>
      <c r="H181">
        <f>IF(H62="","",SUM(H$6:H62))</f>
        <v>10805</v>
      </c>
      <c r="I181">
        <f>IF(I62="","",SUM(I$6:I62))</f>
        <v>10053</v>
      </c>
      <c r="J181">
        <f>IF(J62="","",SUM(J$6:J62))</f>
        <v>9868</v>
      </c>
      <c r="K181">
        <f>IF(K62="","",SUM(K$6:K62))</f>
        <v>8985</v>
      </c>
      <c r="L181">
        <f>IF(L62="","",SUM(L$6:L62))</f>
        <v>6784</v>
      </c>
      <c r="M181">
        <f>IF(M62="","",SUM(M$6:M62))</f>
        <v>7269</v>
      </c>
      <c r="N181">
        <f>IF(N62="","",SUM(N$6:N62))</f>
        <v>9556</v>
      </c>
      <c r="O181">
        <f>IF(O62="","",SUM(O$6:O62))</f>
        <v>13865</v>
      </c>
      <c r="P181">
        <f>IF(P62="","",SUM(P$6:P62))</f>
        <v>16296</v>
      </c>
      <c r="Q181">
        <f>IF(Q62="","",SUM(Q$6:Q62))</f>
        <v>15540</v>
      </c>
      <c r="R181">
        <f>IF(R62="","",SUM(R$6:R62))</f>
        <v>9961</v>
      </c>
      <c r="S181">
        <f>IF(S62="","",SUM(S$6:S62))</f>
        <v>29202</v>
      </c>
      <c r="T181">
        <f>IF(T62="","",SUM(T$6:T62))</f>
        <v>7954</v>
      </c>
      <c r="U181">
        <f>IF(U62="","",SUM(U$6:U62))</f>
        <v>6605</v>
      </c>
      <c r="V181">
        <f>IF(V62="","",SUM(V$6:V62))</f>
        <v>2610</v>
      </c>
      <c r="W181">
        <f>IF(W62="","",SUM(W$6:W62))</f>
        <v>19265</v>
      </c>
      <c r="X181">
        <f>IF(X62="","",SUM(X$6:X62))</f>
        <v>15442</v>
      </c>
      <c r="Y181">
        <f>IF(Y62="","",SUM(Y$6:Y62))</f>
        <v>12641</v>
      </c>
      <c r="Z181">
        <f>IF(Z62="","",SUM(Z$6:Z62))</f>
        <v>5098</v>
      </c>
      <c r="AA181">
        <f>IF(AA62="","",SUM(AA$6:AA62))</f>
        <v>38990</v>
      </c>
      <c r="AB181">
        <f>IF(AB62="","",SUM(AB$6:AB62))</f>
        <v>16137</v>
      </c>
      <c r="AC181">
        <f>IF(AC62="","",SUM(AC$6:AC62))</f>
        <v>5596</v>
      </c>
      <c r="AD181">
        <f>IF(AD62="","",SUM(AD$6:AD62))</f>
        <v>5723</v>
      </c>
      <c r="AE181">
        <f>IF(AE62="","",SUM(AE$6:AE62))</f>
        <v>36619</v>
      </c>
      <c r="AF181">
        <f>IF(AF62="","",SUM(AF$6:AF62))</f>
        <v>1410</v>
      </c>
      <c r="AG181">
        <f>IF(AG62="","",SUM(AG$6:AG62))</f>
        <v>7933</v>
      </c>
      <c r="AH181">
        <f>IF(AH62="","",SUM(AH$6:AH62))</f>
        <v>7963</v>
      </c>
      <c r="AI181">
        <f>IF(AI62="","",SUM(AI$6:AI62))</f>
        <v>15621</v>
      </c>
    </row>
    <row r="182" spans="1:35" x14ac:dyDescent="0.3">
      <c r="A182" s="3">
        <v>178</v>
      </c>
      <c r="B182">
        <f>IF(B63="","",SUM(B$6:B63))</f>
        <v>1025</v>
      </c>
      <c r="C182">
        <f>IF(C63="","",SUM(C$6:C63))</f>
        <v>26721</v>
      </c>
      <c r="D182">
        <f>IF(D63="","",SUM(D$6:D63))</f>
        <v>16842</v>
      </c>
      <c r="E182">
        <f>IF(E63="","",SUM(E$6:E63))</f>
        <v>10083</v>
      </c>
      <c r="F182">
        <f>IF(F63="","",SUM(F$6:F63))</f>
        <v>8473</v>
      </c>
      <c r="G182">
        <f>IF(G63="","",SUM(G$6:G63))</f>
        <v>17876</v>
      </c>
      <c r="H182">
        <f>IF(H63="","",SUM(H$6:H63))</f>
        <v>11046</v>
      </c>
      <c r="I182">
        <f>IF(I63="","",SUM(I$6:I63))</f>
        <v>12806</v>
      </c>
      <c r="J182">
        <f>IF(J63="","",SUM(J$6:J63))</f>
        <v>10037</v>
      </c>
      <c r="K182">
        <f>IF(K63="","",SUM(K$6:K63))</f>
        <v>10387</v>
      </c>
      <c r="L182">
        <f>IF(L63="","",SUM(L$6:L63))</f>
        <v>7387</v>
      </c>
      <c r="M182">
        <f>IF(M63="","",SUM(M$6:M63))</f>
        <v>8219</v>
      </c>
      <c r="N182">
        <f>IF(N63="","",SUM(N$6:N63))</f>
        <v>10230</v>
      </c>
      <c r="O182">
        <f>IF(O63="","",SUM(O$6:O63))</f>
        <v>15297</v>
      </c>
      <c r="P182">
        <f>IF(P63="","",SUM(P$6:P63))</f>
        <v>17288</v>
      </c>
      <c r="Q182">
        <f>IF(Q63="","",SUM(Q$6:Q63))</f>
        <v>17079</v>
      </c>
      <c r="R182">
        <f>IF(R63="","",SUM(R$6:R63))</f>
        <v>10809</v>
      </c>
      <c r="S182">
        <f>IF(S63="","",SUM(S$6:S63))</f>
        <v>32143</v>
      </c>
      <c r="T182">
        <f>IF(T63="","",SUM(T$6:T63))</f>
        <v>9392</v>
      </c>
      <c r="U182">
        <f>IF(U63="","",SUM(U$6:U63))</f>
        <v>6639</v>
      </c>
      <c r="V182">
        <f>IF(V63="","",SUM(V$6:V63))</f>
        <v>2718</v>
      </c>
      <c r="W182">
        <f>IF(W63="","",SUM(W$6:W63))</f>
        <v>23087</v>
      </c>
      <c r="X182">
        <f>IF(X63="","",SUM(X$6:X63))</f>
        <v>17084</v>
      </c>
      <c r="Y182">
        <f>IF(Y63="","",SUM(Y$6:Y63))</f>
        <v>15140</v>
      </c>
      <c r="Z182">
        <f>IF(Z63="","",SUM(Z$6:Z63))</f>
        <v>9885</v>
      </c>
      <c r="AA182">
        <f>IF(AA63="","",SUM(AA$6:AA63))</f>
        <v>41859</v>
      </c>
      <c r="AB182">
        <f>IF(AB63="","",SUM(AB$6:AB63))</f>
        <v>17632</v>
      </c>
      <c r="AC182">
        <f>IF(AC63="","",SUM(AC$6:AC63))</f>
        <v>7050</v>
      </c>
      <c r="AD182">
        <f>IF(AD63="","",SUM(AD$6:AD63))</f>
        <v>6430</v>
      </c>
      <c r="AE182">
        <f>IF(AE63="","",SUM(AE$6:AE63))</f>
        <v>36875</v>
      </c>
      <c r="AF182">
        <f>IF(AF63="","",SUM(AF$6:AF63))</f>
        <v>1678</v>
      </c>
      <c r="AG182">
        <f>IF(AG63="","",SUM(AG$6:AG63))</f>
        <v>8392</v>
      </c>
      <c r="AH182">
        <f>IF(AH63="","",SUM(AH$6:AH63))</f>
        <v>8020</v>
      </c>
      <c r="AI182">
        <f>IF(AI63="","",SUM(AI$6:AI63))</f>
        <v>16316</v>
      </c>
    </row>
    <row r="183" spans="1:35" x14ac:dyDescent="0.3">
      <c r="A183" s="3">
        <v>179</v>
      </c>
      <c r="B183">
        <f>IF(B64="","",SUM(B$6:B64))</f>
        <v>1050</v>
      </c>
      <c r="C183">
        <f>IF(C64="","",SUM(C$6:C64))</f>
        <v>32539</v>
      </c>
      <c r="D183">
        <f>IF(D64="","",SUM(D$6:D64))</f>
        <v>18391</v>
      </c>
      <c r="E183">
        <f>IF(E64="","",SUM(E$6:E64))</f>
        <v>12239</v>
      </c>
      <c r="F183">
        <f>IF(F64="","",SUM(F$6:F64))</f>
        <v>9418</v>
      </c>
      <c r="G183">
        <f>IF(G64="","",SUM(G$6:G64))</f>
        <v>18365</v>
      </c>
      <c r="H183">
        <f>IF(H64="","",SUM(H$6:H64))</f>
        <v>11576</v>
      </c>
      <c r="I183">
        <f>IF(I64="","",SUM(I$6:I64))</f>
        <v>14517</v>
      </c>
      <c r="J183">
        <f>IF(J64="","",SUM(J$6:J64))</f>
        <v>12573</v>
      </c>
      <c r="K183">
        <f>IF(K64="","",SUM(K$6:K64))</f>
        <v>11144</v>
      </c>
      <c r="L183">
        <f>IF(L64="","",SUM(L$6:L64))</f>
        <v>7389</v>
      </c>
      <c r="M183">
        <f>IF(M64="","",SUM(M$6:M64))</f>
        <v>9489</v>
      </c>
      <c r="N183">
        <f>IF(N64="","",SUM(N$6:N64))</f>
        <v>10566</v>
      </c>
      <c r="O183">
        <f>IF(O64="","",SUM(O$6:O64))</f>
        <v>15478</v>
      </c>
      <c r="P183">
        <f>IF(P64="","",SUM(P$6:P64))</f>
        <v>20051</v>
      </c>
      <c r="Q183">
        <f>IF(Q64="","",SUM(Q$6:Q64))</f>
        <v>18290</v>
      </c>
      <c r="R183">
        <f>IF(R64="","",SUM(R$6:R64))</f>
        <v>11128</v>
      </c>
      <c r="S183">
        <f>IF(S64="","",SUM(S$6:S64))</f>
        <v>32698</v>
      </c>
      <c r="T183">
        <f>IF(T64="","",SUM(T$6:T64))</f>
        <v>10485</v>
      </c>
      <c r="U183">
        <f>IF(U64="","",SUM(U$6:U64))</f>
        <v>6837</v>
      </c>
      <c r="V183">
        <f>IF(V64="","",SUM(V$6:V64))</f>
        <v>2771</v>
      </c>
      <c r="W183">
        <f>IF(W64="","",SUM(W$6:W64))</f>
        <v>24758</v>
      </c>
      <c r="X183">
        <f>IF(X64="","",SUM(X$6:X64))</f>
        <v>21079</v>
      </c>
      <c r="Y183">
        <f>IF(Y64="","",SUM(Y$6:Y64))</f>
        <v>17433</v>
      </c>
      <c r="Z183">
        <f>IF(Z64="","",SUM(Z$6:Z64))</f>
        <v>10590</v>
      </c>
      <c r="AA183">
        <f>IF(AA64="","",SUM(AA$6:AA64))</f>
        <v>47786</v>
      </c>
      <c r="AB183">
        <f>IF(AB64="","",SUM(AB$6:AB64))</f>
        <v>19325</v>
      </c>
      <c r="AC183">
        <f>IF(AC64="","",SUM(AC$6:AC64))</f>
        <v>9983</v>
      </c>
      <c r="AD183">
        <f>IF(AD64="","",SUM(AD$6:AD64))</f>
        <v>7617</v>
      </c>
      <c r="AE183">
        <f>IF(AE64="","",SUM(AE$6:AE64))</f>
        <v>37649</v>
      </c>
      <c r="AF183">
        <f>IF(AF64="","",SUM(AF$6:AF64))</f>
        <v>1986</v>
      </c>
      <c r="AG183">
        <f>IF(AG64="","",SUM(AG$6:AG64))</f>
        <v>9385</v>
      </c>
      <c r="AH183">
        <f>IF(AH64="","",SUM(AH$6:AH64))</f>
        <v>8392</v>
      </c>
      <c r="AI183" t="str">
        <f>IF(AI64="","",SUM(AI$6:AI64))</f>
        <v/>
      </c>
    </row>
    <row r="184" spans="1:35" x14ac:dyDescent="0.3">
      <c r="A184" s="3">
        <v>180</v>
      </c>
      <c r="B184">
        <f>IF(B65="","",SUM(B$6:B65))</f>
        <v>2194</v>
      </c>
      <c r="C184">
        <f>IF(C65="","",SUM(C$6:C65))</f>
        <v>33793</v>
      </c>
      <c r="D184">
        <f>IF(D65="","",SUM(D$6:D65))</f>
        <v>19328</v>
      </c>
      <c r="E184">
        <f>IF(E65="","",SUM(E$6:E65))</f>
        <v>15478</v>
      </c>
      <c r="F184">
        <f>IF(F65="","",SUM(F$6:F65))</f>
        <v>14709</v>
      </c>
      <c r="G184">
        <f>IF(G65="","",SUM(G$6:G65))</f>
        <v>18910</v>
      </c>
      <c r="H184">
        <f>IF(H65="","",SUM(H$6:H65))</f>
        <v>13738</v>
      </c>
      <c r="I184">
        <f>IF(I65="","",SUM(I$6:I65))</f>
        <v>15271</v>
      </c>
      <c r="J184">
        <f>IF(J65="","",SUM(J$6:J65))</f>
        <v>15639</v>
      </c>
      <c r="K184">
        <f>IF(K65="","",SUM(K$6:K65))</f>
        <v>13436</v>
      </c>
      <c r="L184">
        <f>IF(L65="","",SUM(L$6:L65))</f>
        <v>8383</v>
      </c>
      <c r="M184">
        <f>IF(M65="","",SUM(M$6:M65))</f>
        <v>10728</v>
      </c>
      <c r="N184">
        <f>IF(N65="","",SUM(N$6:N65))</f>
        <v>11426</v>
      </c>
      <c r="O184">
        <f>IF(O65="","",SUM(O$6:O65))</f>
        <v>15789</v>
      </c>
      <c r="P184">
        <f>IF(P65="","",SUM(P$6:P65))</f>
        <v>20526</v>
      </c>
      <c r="Q184">
        <f>IF(Q65="","",SUM(Q$6:Q65))</f>
        <v>22380</v>
      </c>
      <c r="R184">
        <f>IF(R65="","",SUM(R$6:R65))</f>
        <v>12104</v>
      </c>
      <c r="S184">
        <f>IF(S65="","",SUM(S$6:S65))</f>
        <v>33237</v>
      </c>
      <c r="T184">
        <f>IF(T65="","",SUM(T$6:T65))</f>
        <v>11690</v>
      </c>
      <c r="U184">
        <f>IF(U65="","",SUM(U$6:U65))</f>
        <v>7507</v>
      </c>
      <c r="V184">
        <f>IF(V65="","",SUM(V$6:V65))</f>
        <v>3813</v>
      </c>
      <c r="W184">
        <f>IF(W65="","",SUM(W$6:W65))</f>
        <v>26044</v>
      </c>
      <c r="X184">
        <f>IF(X65="","",SUM(X$6:X65))</f>
        <v>22331</v>
      </c>
      <c r="Y184">
        <f>IF(Y65="","",SUM(Y$6:Y65))</f>
        <v>17473</v>
      </c>
      <c r="Z184">
        <f>IF(Z65="","",SUM(Z$6:Z65))</f>
        <v>13688</v>
      </c>
      <c r="AA184">
        <f>IF(AA65="","",SUM(AA$6:AA65))</f>
        <v>52691</v>
      </c>
      <c r="AB184">
        <f>IF(AB65="","",SUM(AB$6:AB65))</f>
        <v>21008</v>
      </c>
      <c r="AC184">
        <f>IF(AC65="","",SUM(AC$6:AC65))</f>
        <v>11412</v>
      </c>
      <c r="AD184">
        <f>IF(AD65="","",SUM(AD$6:AD65))</f>
        <v>8091</v>
      </c>
      <c r="AE184">
        <f>IF(AE65="","",SUM(AE$6:AE65))</f>
        <v>37849</v>
      </c>
      <c r="AF184">
        <f>IF(AF65="","",SUM(AF$6:AF65))</f>
        <v>2067</v>
      </c>
      <c r="AG184">
        <f>IF(AG65="","",SUM(AG$6:AG65))</f>
        <v>9849</v>
      </c>
      <c r="AH184">
        <f>IF(AH65="","",SUM(AH$6:AH65))</f>
        <v>8435</v>
      </c>
      <c r="AI184">
        <f>IF(AI65="","",SUM(AI$6:AI65))</f>
        <v>16402</v>
      </c>
    </row>
    <row r="185" spans="1:35" x14ac:dyDescent="0.3">
      <c r="A185" s="3">
        <v>181</v>
      </c>
      <c r="B185">
        <f>IF(B66="","",SUM(B$6:B66))</f>
        <v>10339</v>
      </c>
      <c r="C185">
        <f>IF(C66="","",SUM(C$6:C66))</f>
        <v>34913</v>
      </c>
      <c r="D185">
        <f>IF(D66="","",SUM(D$6:D66))</f>
        <v>20814</v>
      </c>
      <c r="E185">
        <f>IF(E66="","",SUM(E$6:E66))</f>
        <v>20231</v>
      </c>
      <c r="F185">
        <f>IF(F66="","",SUM(F$6:F66))</f>
        <v>18600</v>
      </c>
      <c r="G185">
        <f>IF(G66="","",SUM(G$6:G66))</f>
        <v>21631</v>
      </c>
      <c r="H185">
        <f>IF(H66="","",SUM(H$6:H66))</f>
        <v>17296</v>
      </c>
      <c r="I185">
        <f>IF(I66="","",SUM(I$6:I66))</f>
        <v>15278</v>
      </c>
      <c r="J185">
        <f>IF(J66="","",SUM(J$6:J66))</f>
        <v>16487</v>
      </c>
      <c r="K185">
        <f>IF(K66="","",SUM(K$6:K66))</f>
        <v>14277</v>
      </c>
      <c r="L185">
        <f>IF(L66="","",SUM(L$6:L66))</f>
        <v>9445</v>
      </c>
      <c r="M185">
        <f>IF(M66="","",SUM(M$6:M66))</f>
        <v>12469</v>
      </c>
      <c r="N185">
        <f>IF(N66="","",SUM(N$6:N66))</f>
        <v>11824</v>
      </c>
      <c r="O185">
        <f>IF(O66="","",SUM(O$6:O66))</f>
        <v>17707</v>
      </c>
      <c r="P185">
        <f>IF(P66="","",SUM(P$6:P66))</f>
        <v>22931</v>
      </c>
      <c r="Q185">
        <f>IF(Q66="","",SUM(Q$6:Q66))</f>
        <v>26052</v>
      </c>
      <c r="R185">
        <f>IF(R66="","",SUM(R$6:R66))</f>
        <v>12194</v>
      </c>
      <c r="S185">
        <f>IF(S66="","",SUM(S$6:S66))</f>
        <v>33765</v>
      </c>
      <c r="T185">
        <f>IF(T66="","",SUM(T$6:T66))</f>
        <v>12776</v>
      </c>
      <c r="U185">
        <f>IF(U66="","",SUM(U$6:U66))</f>
        <v>8807</v>
      </c>
      <c r="V185">
        <f>IF(V66="","",SUM(V$6:V66))</f>
        <v>5294</v>
      </c>
      <c r="W185">
        <f>IF(W66="","",SUM(W$6:W66))</f>
        <v>28750</v>
      </c>
      <c r="X185">
        <f>IF(X66="","",SUM(X$6:X66))</f>
        <v>22337</v>
      </c>
      <c r="Y185">
        <f>IF(Y66="","",SUM(Y$6:Y66))</f>
        <v>22350</v>
      </c>
      <c r="Z185">
        <f>IF(Z66="","",SUM(Z$6:Z66))</f>
        <v>13742</v>
      </c>
      <c r="AA185">
        <f>IF(AA66="","",SUM(AA$6:AA66))</f>
        <v>54807</v>
      </c>
      <c r="AB185">
        <f>IF(AB66="","",SUM(AB$6:AB66))</f>
        <v>21670</v>
      </c>
      <c r="AC185">
        <f>IF(AC66="","",SUM(AC$6:AC66))</f>
        <v>11562</v>
      </c>
      <c r="AD185">
        <f>IF(AD66="","",SUM(AD$6:AD66))</f>
        <v>8491</v>
      </c>
      <c r="AE185">
        <f>IF(AE66="","",SUM(AE$6:AE66))</f>
        <v>38193</v>
      </c>
      <c r="AF185">
        <f>IF(AF66="","",SUM(AF$6:AF66))</f>
        <v>2134</v>
      </c>
      <c r="AG185">
        <f>IF(AG66="","",SUM(AG$6:AG66))</f>
        <v>11400</v>
      </c>
      <c r="AH185">
        <f>IF(AH66="","",SUM(AH$6:AH66))</f>
        <v>10549</v>
      </c>
      <c r="AI185">
        <f>IF(AI66="","",SUM(AI$6:AI66))</f>
        <v>18259</v>
      </c>
    </row>
    <row r="186" spans="1:35" x14ac:dyDescent="0.3">
      <c r="A186" s="3">
        <v>182</v>
      </c>
      <c r="B186">
        <f>IF(B67="","",SUM(B$6:B67))</f>
        <v>12114</v>
      </c>
      <c r="C186">
        <f>IF(C67="","",SUM(C$6:C67))</f>
        <v>36306</v>
      </c>
      <c r="D186">
        <f>IF(D67="","",SUM(D$6:D67))</f>
        <v>21004</v>
      </c>
      <c r="E186">
        <f>IF(E67="","",SUM(E$6:E67))</f>
        <v>22974</v>
      </c>
      <c r="F186">
        <f>IF(F67="","",SUM(F$6:F67))</f>
        <v>20907</v>
      </c>
      <c r="G186">
        <f>IF(G67="","",SUM(G$6:G67))</f>
        <v>22453</v>
      </c>
      <c r="H186">
        <f>IF(H67="","",SUM(H$6:H67))</f>
        <v>17570</v>
      </c>
      <c r="I186">
        <f>IF(I67="","",SUM(I$6:I67))</f>
        <v>16348</v>
      </c>
      <c r="J186">
        <f>IF(J67="","",SUM(J$6:J67))</f>
        <v>16705</v>
      </c>
      <c r="K186">
        <f>IF(K67="","",SUM(K$6:K67))</f>
        <v>14487</v>
      </c>
      <c r="L186">
        <f>IF(L67="","",SUM(L$6:L67))</f>
        <v>9965</v>
      </c>
      <c r="M186">
        <f>IF(M67="","",SUM(M$6:M67))</f>
        <v>14448</v>
      </c>
      <c r="N186">
        <f>IF(N67="","",SUM(N$6:N67))</f>
        <v>12925</v>
      </c>
      <c r="O186">
        <f>IF(O67="","",SUM(O$6:O67))</f>
        <v>19160</v>
      </c>
      <c r="P186">
        <f>IF(P67="","",SUM(P$6:P67))</f>
        <v>24139</v>
      </c>
      <c r="Q186">
        <f>IF(Q67="","",SUM(Q$6:Q67))</f>
        <v>27539</v>
      </c>
      <c r="R186">
        <f>IF(R67="","",SUM(R$6:R67))</f>
        <v>12194</v>
      </c>
      <c r="S186">
        <f>IF(S67="","",SUM(S$6:S67))</f>
        <v>34444</v>
      </c>
      <c r="T186">
        <f>IF(T67="","",SUM(T$6:T67))</f>
        <v>16047</v>
      </c>
      <c r="U186">
        <f>IF(U67="","",SUM(U$6:U67))</f>
        <v>9883</v>
      </c>
      <c r="V186">
        <f>IF(V67="","",SUM(V$6:V67))</f>
        <v>6143</v>
      </c>
      <c r="W186">
        <f>IF(W67="","",SUM(W$6:W67))</f>
        <v>29222</v>
      </c>
      <c r="X186">
        <f>IF(X67="","",SUM(X$6:X67))</f>
        <v>22771</v>
      </c>
      <c r="Y186">
        <f>IF(Y67="","",SUM(Y$6:Y67))</f>
        <v>25755</v>
      </c>
      <c r="Z186">
        <f>IF(Z67="","",SUM(Z$6:Z67))</f>
        <v>14825</v>
      </c>
      <c r="AA186">
        <f>IF(AA67="","",SUM(AA$6:AA67))</f>
        <v>56676</v>
      </c>
      <c r="AB186">
        <f>IF(AB67="","",SUM(AB$6:AB67))</f>
        <v>24245</v>
      </c>
      <c r="AC186">
        <f>IF(AC67="","",SUM(AC$6:AC67))</f>
        <v>12583</v>
      </c>
      <c r="AD186">
        <f>IF(AD67="","",SUM(AD$6:AD67))</f>
        <v>8552</v>
      </c>
      <c r="AE186">
        <f>IF(AE67="","",SUM(AE$6:AE67))</f>
        <v>38454</v>
      </c>
      <c r="AF186">
        <f>IF(AF67="","",SUM(AF$6:AF67))</f>
        <v>2311</v>
      </c>
      <c r="AG186">
        <f>IF(AG67="","",SUM(AG$6:AG67))</f>
        <v>12588</v>
      </c>
      <c r="AH186">
        <f>IF(AH67="","",SUM(AH$6:AH67))</f>
        <v>11452</v>
      </c>
      <c r="AI186">
        <f>IF(AI67="","",SUM(AI$6:AI67))</f>
        <v>21665</v>
      </c>
    </row>
    <row r="187" spans="1:35" x14ac:dyDescent="0.3">
      <c r="A187" s="3">
        <v>183</v>
      </c>
      <c r="B187">
        <f>IF(B68="","",SUM(B$6:B68))</f>
        <v>12718</v>
      </c>
      <c r="C187">
        <f>IF(C68="","",SUM(C$6:C68))</f>
        <v>37755</v>
      </c>
      <c r="D187">
        <f>IF(D68="","",SUM(D$6:D68))</f>
        <v>22104</v>
      </c>
      <c r="E187">
        <f>IF(E68="","",SUM(E$6:E68))</f>
        <v>25681</v>
      </c>
      <c r="F187">
        <f>IF(F68="","",SUM(F$6:F68))</f>
        <v>21809</v>
      </c>
      <c r="G187">
        <f>IF(G68="","",SUM(G$6:G68))</f>
        <v>22671</v>
      </c>
      <c r="H187">
        <f>IF(H68="","",SUM(H$6:H68))</f>
        <v>19121</v>
      </c>
      <c r="I187">
        <f>IF(I68="","",SUM(I$6:I68))</f>
        <v>16771</v>
      </c>
      <c r="J187">
        <f>IF(J68="","",SUM(J$6:J68))</f>
        <v>17819</v>
      </c>
      <c r="K187">
        <f>IF(K68="","",SUM(K$6:K68))</f>
        <v>14537</v>
      </c>
      <c r="L187">
        <f>IF(L68="","",SUM(L$6:L68))</f>
        <v>10567</v>
      </c>
      <c r="M187">
        <f>IF(M68="","",SUM(M$6:M68))</f>
        <v>14960</v>
      </c>
      <c r="N187">
        <f>IF(N68="","",SUM(N$6:N68))</f>
        <v>15304</v>
      </c>
      <c r="O187">
        <f>IF(O68="","",SUM(O$6:O68))</f>
        <v>22321</v>
      </c>
      <c r="P187">
        <f>IF(P68="","",SUM(P$6:P68))</f>
        <v>24861</v>
      </c>
      <c r="Q187">
        <f>IF(Q68="","",SUM(Q$6:Q68))</f>
        <v>27690</v>
      </c>
      <c r="R187">
        <f>IF(R68="","",SUM(R$6:R68))</f>
        <v>13076</v>
      </c>
      <c r="S187">
        <f>IF(S68="","",SUM(S$6:S68))</f>
        <v>36849</v>
      </c>
      <c r="T187">
        <f>IF(T68="","",SUM(T$6:T68))</f>
        <v>18114</v>
      </c>
      <c r="U187">
        <f>IF(U68="","",SUM(U$6:U68))</f>
        <v>10654</v>
      </c>
      <c r="V187">
        <f>IF(V68="","",SUM(V$6:V68))</f>
        <v>6196</v>
      </c>
      <c r="W187">
        <f>IF(W68="","",SUM(W$6:W68))</f>
        <v>29953</v>
      </c>
      <c r="X187">
        <f>IF(X68="","",SUM(X$6:X68))</f>
        <v>24320</v>
      </c>
      <c r="Y187">
        <f>IF(Y68="","",SUM(Y$6:Y68))</f>
        <v>27830</v>
      </c>
      <c r="Z187">
        <f>IF(Z68="","",SUM(Z$6:Z68))</f>
        <v>15295</v>
      </c>
      <c r="AA187">
        <f>IF(AA68="","",SUM(AA$6:AA68))</f>
        <v>58322</v>
      </c>
      <c r="AB187">
        <f>IF(AB68="","",SUM(AB$6:AB68))</f>
        <v>25811</v>
      </c>
      <c r="AC187">
        <f>IF(AC68="","",SUM(AC$6:AC68))</f>
        <v>14725</v>
      </c>
      <c r="AD187">
        <f>IF(AD68="","",SUM(AD$6:AD68))</f>
        <v>11163</v>
      </c>
      <c r="AE187">
        <f>IF(AE68="","",SUM(AE$6:AE68))</f>
        <v>41843</v>
      </c>
      <c r="AF187">
        <f>IF(AF68="","",SUM(AF$6:AF68))</f>
        <v>2897</v>
      </c>
      <c r="AG187">
        <f>IF(AG68="","",SUM(AG$6:AG68))</f>
        <v>12859</v>
      </c>
      <c r="AH187">
        <f>IF(AH68="","",SUM(AH$6:AH68))</f>
        <v>15109</v>
      </c>
      <c r="AI187">
        <f>IF(AI68="","",SUM(AI$6:AI68))</f>
        <v>23189</v>
      </c>
    </row>
    <row r="188" spans="1:35" x14ac:dyDescent="0.3">
      <c r="A188" s="3">
        <v>184</v>
      </c>
      <c r="B188">
        <f>IF(B69="","",SUM(B$6:B69))</f>
        <v>15473</v>
      </c>
      <c r="C188">
        <f>IF(C69="","",SUM(C$6:C69))</f>
        <v>39666</v>
      </c>
      <c r="D188">
        <f>IF(D69="","",SUM(D$6:D69))</f>
        <v>25052</v>
      </c>
      <c r="E188">
        <f>IF(E69="","",SUM(E$6:E69))</f>
        <v>31726</v>
      </c>
      <c r="F188">
        <f>IF(F69="","",SUM(F$6:F69))</f>
        <v>21979</v>
      </c>
      <c r="G188">
        <f>IF(G69="","",SUM(G$6:G69))</f>
        <v>23632</v>
      </c>
      <c r="H188">
        <f>IF(H69="","",SUM(H$6:H69))</f>
        <v>21639</v>
      </c>
      <c r="I188">
        <f>IF(I69="","",SUM(I$6:I69))</f>
        <v>17593</v>
      </c>
      <c r="J188">
        <f>IF(J69="","",SUM(J$6:J69))</f>
        <v>19876</v>
      </c>
      <c r="K188">
        <f>IF(K69="","",SUM(K$6:K69))</f>
        <v>15885</v>
      </c>
      <c r="L188">
        <f>IF(L69="","",SUM(L$6:L69))</f>
        <v>12206</v>
      </c>
      <c r="M188">
        <f>IF(M69="","",SUM(M$6:M69))</f>
        <v>17090</v>
      </c>
      <c r="N188">
        <f>IF(N69="","",SUM(N$6:N69))</f>
        <v>17564</v>
      </c>
      <c r="O188">
        <f>IF(O69="","",SUM(O$6:O69))</f>
        <v>22819</v>
      </c>
      <c r="P188">
        <f>IF(P69="","",SUM(P$6:P69))</f>
        <v>26183</v>
      </c>
      <c r="Q188">
        <f>IF(Q69="","",SUM(Q$6:Q69))</f>
        <v>30136</v>
      </c>
      <c r="R188">
        <f>IF(R69="","",SUM(R$6:R69))</f>
        <v>14746</v>
      </c>
      <c r="S188">
        <f>IF(S69="","",SUM(S$6:S69))</f>
        <v>38393</v>
      </c>
      <c r="T188">
        <f>IF(T69="","",SUM(T$6:T69))</f>
        <v>20370</v>
      </c>
      <c r="U188">
        <f>IF(U69="","",SUM(U$6:U69))</f>
        <v>10681</v>
      </c>
      <c r="V188">
        <f>IF(V69="","",SUM(V$6:V69))</f>
        <v>7462</v>
      </c>
      <c r="W188">
        <f>IF(W69="","",SUM(W$6:W69))</f>
        <v>31915</v>
      </c>
      <c r="X188">
        <f>IF(X69="","",SUM(X$6:X69))</f>
        <v>24757</v>
      </c>
      <c r="Y188">
        <f>IF(Y69="","",SUM(Y$6:Y69))</f>
        <v>30447</v>
      </c>
      <c r="Z188">
        <f>IF(Z69="","",SUM(Z$6:Z69))</f>
        <v>15371</v>
      </c>
      <c r="AA188">
        <f>IF(AA69="","",SUM(AA$6:AA69))</f>
        <v>59865</v>
      </c>
      <c r="AB188">
        <f>IF(AB69="","",SUM(AB$6:AB69))</f>
        <v>26612</v>
      </c>
      <c r="AC188">
        <f>IF(AC69="","",SUM(AC$6:AC69))</f>
        <v>17775</v>
      </c>
      <c r="AD188">
        <f>IF(AD69="","",SUM(AD$6:AD69))</f>
        <v>13980</v>
      </c>
      <c r="AE188">
        <f>IF(AE69="","",SUM(AE$6:AE69))</f>
        <v>43418</v>
      </c>
      <c r="AF188">
        <f>IF(AF69="","",SUM(AF$6:AF69))</f>
        <v>3579</v>
      </c>
      <c r="AG188">
        <f>IF(AG69="","",SUM(AG$6:AG69))</f>
        <v>14067</v>
      </c>
      <c r="AH188">
        <f>IF(AH69="","",SUM(AH$6:AH69))</f>
        <v>17063</v>
      </c>
      <c r="AI188">
        <f>IF(AI69="","",SUM(AI$6:AI69))</f>
        <v>25798</v>
      </c>
    </row>
    <row r="189" spans="1:35" x14ac:dyDescent="0.3">
      <c r="A189" s="3">
        <v>185</v>
      </c>
      <c r="B189">
        <f>IF(B70="","",SUM(B$6:B70))</f>
        <v>16460</v>
      </c>
      <c r="C189">
        <f>IF(C70="","",SUM(C$6:C70))</f>
        <v>43104</v>
      </c>
      <c r="D189">
        <f>IF(D70="","",SUM(D$6:D70))</f>
        <v>27885</v>
      </c>
      <c r="E189">
        <f>IF(E70="","",SUM(E$6:E70))</f>
        <v>32116</v>
      </c>
      <c r="F189">
        <f>IF(F70="","",SUM(F$6:F70))</f>
        <v>22708</v>
      </c>
      <c r="G189">
        <f>IF(G70="","",SUM(G$6:G70))</f>
        <v>24365</v>
      </c>
      <c r="H189">
        <f>IF(H70="","",SUM(H$6:H70))</f>
        <v>22350</v>
      </c>
      <c r="I189">
        <f>IF(I70="","",SUM(I$6:I70))</f>
        <v>18357</v>
      </c>
      <c r="J189">
        <f>IF(J70="","",SUM(J$6:J70))</f>
        <v>22168</v>
      </c>
      <c r="K189">
        <f>IF(K70="","",SUM(K$6:K70))</f>
        <v>17033</v>
      </c>
      <c r="L189">
        <f>IF(L70="","",SUM(L$6:L70))</f>
        <v>12419</v>
      </c>
      <c r="M189">
        <f>IF(M70="","",SUM(M$6:M70))</f>
        <v>21358</v>
      </c>
      <c r="N189">
        <f>IF(N70="","",SUM(N$6:N70))</f>
        <v>19500</v>
      </c>
      <c r="O189">
        <f>IF(O70="","",SUM(O$6:O70))</f>
        <v>22866</v>
      </c>
      <c r="P189">
        <f>IF(P70="","",SUM(P$6:P70))</f>
        <v>26540</v>
      </c>
      <c r="Q189">
        <f>IF(Q70="","",SUM(Q$6:Q70))</f>
        <v>32855</v>
      </c>
      <c r="R189">
        <f>IF(R70="","",SUM(R$6:R70))</f>
        <v>16870</v>
      </c>
      <c r="S189">
        <f>IF(S70="","",SUM(S$6:S70))</f>
        <v>39909</v>
      </c>
      <c r="T189">
        <f>IF(T70="","",SUM(T$6:T70))</f>
        <v>22287</v>
      </c>
      <c r="U189">
        <f>IF(U70="","",SUM(U$6:U70))</f>
        <v>11640</v>
      </c>
      <c r="V189">
        <f>IF(V70="","",SUM(V$6:V70))</f>
        <v>9592</v>
      </c>
      <c r="W189">
        <f>IF(W70="","",SUM(W$6:W70))</f>
        <v>34383</v>
      </c>
      <c r="X189">
        <f>IF(X70="","",SUM(X$6:X70))</f>
        <v>27783</v>
      </c>
      <c r="Y189">
        <f>IF(Y70="","",SUM(Y$6:Y70))</f>
        <v>34414</v>
      </c>
      <c r="Z189">
        <f>IF(Z70="","",SUM(Z$6:Z70))</f>
        <v>15616</v>
      </c>
      <c r="AA189">
        <f>IF(AA70="","",SUM(AA$6:AA70))</f>
        <v>66716</v>
      </c>
      <c r="AB189">
        <f>IF(AB70="","",SUM(AB$6:AB70))</f>
        <v>27082</v>
      </c>
      <c r="AC189">
        <f>IF(AC70="","",SUM(AC$6:AC70))</f>
        <v>20359</v>
      </c>
      <c r="AD189">
        <f>IF(AD70="","",SUM(AD$6:AD70))</f>
        <v>16112</v>
      </c>
      <c r="AE189">
        <f>IF(AE70="","",SUM(AE$6:AE70))</f>
        <v>43482</v>
      </c>
      <c r="AF189">
        <f>IF(AF70="","",SUM(AF$6:AF70))</f>
        <v>4851</v>
      </c>
      <c r="AG189">
        <f>IF(AG70="","",SUM(AG$6:AG70))</f>
        <v>16308</v>
      </c>
      <c r="AH189">
        <f>IF(AH70="","",SUM(AH$6:AH70))</f>
        <v>18750</v>
      </c>
      <c r="AI189">
        <f>IF(AI70="","",SUM(AI$6:AI70))</f>
        <v>28581</v>
      </c>
    </row>
    <row r="190" spans="1:35" x14ac:dyDescent="0.3">
      <c r="A190" s="3">
        <v>186</v>
      </c>
      <c r="B190">
        <f>IF(B71="","",SUM(B$6:B71))</f>
        <v>16554</v>
      </c>
      <c r="C190">
        <f>IF(C71="","",SUM(C$6:C71))</f>
        <v>44478</v>
      </c>
      <c r="D190">
        <f>IF(D71="","",SUM(D$6:D71))</f>
        <v>27955</v>
      </c>
      <c r="E190">
        <f>IF(E71="","",SUM(E$6:E71))</f>
        <v>32248</v>
      </c>
      <c r="F190">
        <f>IF(F71="","",SUM(F$6:F71))</f>
        <v>23066</v>
      </c>
      <c r="G190">
        <f>IF(G71="","",SUM(G$6:G71))</f>
        <v>24989</v>
      </c>
      <c r="H190">
        <f>IF(H71="","",SUM(H$6:H71))</f>
        <v>26988</v>
      </c>
      <c r="I190">
        <f>IF(I71="","",SUM(I$6:I71))</f>
        <v>19535</v>
      </c>
      <c r="J190">
        <f>IF(J71="","",SUM(J$6:J71))</f>
        <v>23029</v>
      </c>
      <c r="K190">
        <f>IF(K71="","",SUM(K$6:K71))</f>
        <v>18536</v>
      </c>
      <c r="L190">
        <f>IF(L71="","",SUM(L$6:L71))</f>
        <v>12445</v>
      </c>
      <c r="M190">
        <f>IF(M71="","",SUM(M$6:M71))</f>
        <v>23374</v>
      </c>
      <c r="N190">
        <f>IF(N71="","",SUM(N$6:N71))</f>
        <v>20283</v>
      </c>
      <c r="O190">
        <f>IF(O71="","",SUM(O$6:O71))</f>
        <v>23168</v>
      </c>
      <c r="P190">
        <f>IF(P71="","",SUM(P$6:P71))</f>
        <v>27408</v>
      </c>
      <c r="Q190">
        <f>IF(Q71="","",SUM(Q$6:Q71))</f>
        <v>35291</v>
      </c>
      <c r="R190">
        <f>IF(R71="","",SUM(R$6:R71))</f>
        <v>17638</v>
      </c>
      <c r="S190">
        <f>IF(S71="","",SUM(S$6:S71))</f>
        <v>40305</v>
      </c>
      <c r="T190">
        <f>IF(T71="","",SUM(T$6:T71))</f>
        <v>22709</v>
      </c>
      <c r="U190">
        <f>IF(U71="","",SUM(U$6:U71))</f>
        <v>12484</v>
      </c>
      <c r="V190">
        <f>IF(V71="","",SUM(V$6:V71))</f>
        <v>11765</v>
      </c>
      <c r="W190">
        <f>IF(W71="","",SUM(W$6:W71))</f>
        <v>37211</v>
      </c>
      <c r="X190">
        <f>IF(X71="","",SUM(X$6:X71))</f>
        <v>29639</v>
      </c>
      <c r="Y190">
        <f>IF(Y71="","",SUM(Y$6:Y71))</f>
        <v>34491</v>
      </c>
      <c r="Z190">
        <f>IF(Z71="","",SUM(Z$6:Z71))</f>
        <v>16995</v>
      </c>
      <c r="AA190">
        <f>IF(AA71="","",SUM(AA$6:AA71))</f>
        <v>69152</v>
      </c>
      <c r="AB190">
        <f>IF(AB71="","",SUM(AB$6:AB71))</f>
        <v>33444</v>
      </c>
      <c r="AC190">
        <f>IF(AC71="","",SUM(AC$6:AC71))</f>
        <v>24492</v>
      </c>
      <c r="AD190">
        <f>IF(AD71="","",SUM(AD$6:AD71))</f>
        <v>18029</v>
      </c>
      <c r="AE190">
        <f>IF(AE71="","",SUM(AE$6:AE71))</f>
        <v>43740</v>
      </c>
      <c r="AF190">
        <f>IF(AF71="","",SUM(AF$6:AF71))</f>
        <v>4924</v>
      </c>
      <c r="AG190">
        <f>IF(AG71="","",SUM(AG$6:AG71))</f>
        <v>18062</v>
      </c>
      <c r="AH190">
        <f>IF(AH71="","",SUM(AH$6:AH71))</f>
        <v>20310</v>
      </c>
      <c r="AI190">
        <f>IF(AI71="","",SUM(AI$6:AI71))</f>
        <v>33026</v>
      </c>
    </row>
    <row r="191" spans="1:35" x14ac:dyDescent="0.3">
      <c r="A191" s="3">
        <v>187</v>
      </c>
      <c r="B191">
        <f>IF(B72="","",SUM(B$6:B72))</f>
        <v>16807</v>
      </c>
      <c r="C191">
        <f>IF(C72="","",SUM(C$6:C72))</f>
        <v>44554</v>
      </c>
      <c r="D191">
        <f>IF(D72="","",SUM(D$6:D72))</f>
        <v>27965</v>
      </c>
      <c r="E191">
        <f>IF(E72="","",SUM(E$6:E72))</f>
        <v>33419</v>
      </c>
      <c r="F191">
        <f>IF(F72="","",SUM(F$6:F72))</f>
        <v>23517</v>
      </c>
      <c r="G191">
        <f>IF(G72="","",SUM(G$6:G72))</f>
        <v>26918</v>
      </c>
      <c r="H191">
        <f>IF(H72="","",SUM(H$6:H72))</f>
        <v>27633</v>
      </c>
      <c r="I191">
        <f>IF(I72="","",SUM(I$6:I72))</f>
        <v>20326</v>
      </c>
      <c r="J191">
        <f>IF(J72="","",SUM(J$6:J72))</f>
        <v>24850</v>
      </c>
      <c r="K191">
        <f>IF(K72="","",SUM(K$6:K72))</f>
        <v>18991</v>
      </c>
      <c r="L191">
        <f>IF(L72="","",SUM(L$6:L72))</f>
        <v>16160</v>
      </c>
      <c r="M191">
        <f>IF(M72="","",SUM(M$6:M72))</f>
        <v>24093</v>
      </c>
      <c r="N191">
        <f>IF(N72="","",SUM(N$6:N72))</f>
        <v>20284</v>
      </c>
      <c r="O191">
        <f>IF(O72="","",SUM(O$6:O72))</f>
        <v>24547</v>
      </c>
      <c r="P191">
        <f>IF(P72="","",SUM(P$6:P72))</f>
        <v>29285</v>
      </c>
      <c r="Q191">
        <f>IF(Q72="","",SUM(Q$6:Q72))</f>
        <v>40537</v>
      </c>
      <c r="R191">
        <f>IF(R72="","",SUM(R$6:R72))</f>
        <v>18543</v>
      </c>
      <c r="S191">
        <f>IF(S72="","",SUM(S$6:S72))</f>
        <v>41556</v>
      </c>
      <c r="T191">
        <f>IF(T72="","",SUM(T$6:T72))</f>
        <v>23462</v>
      </c>
      <c r="U191">
        <f>IF(U72="","",SUM(U$6:U72))</f>
        <v>13694</v>
      </c>
      <c r="V191">
        <f>IF(V72="","",SUM(V$6:V72))</f>
        <v>12797</v>
      </c>
      <c r="W191">
        <f>IF(W72="","",SUM(W$6:W72))</f>
        <v>37915</v>
      </c>
      <c r="X191">
        <f>IF(X72="","",SUM(X$6:X72))</f>
        <v>31596</v>
      </c>
      <c r="Y191">
        <f>IF(Y72="","",SUM(Y$6:Y72))</f>
        <v>34885</v>
      </c>
      <c r="Z191">
        <f>IF(Z72="","",SUM(Z$6:Z72))</f>
        <v>18173</v>
      </c>
      <c r="AA191">
        <f>IF(AA72="","",SUM(AA$6:AA72))</f>
        <v>73676</v>
      </c>
      <c r="AB191">
        <f>IF(AB72="","",SUM(AB$6:AB72))</f>
        <v>34080</v>
      </c>
      <c r="AC191">
        <f>IF(AC72="","",SUM(AC$6:AC72))</f>
        <v>28647</v>
      </c>
      <c r="AD191">
        <f>IF(AD72="","",SUM(AD$6:AD72))</f>
        <v>20168</v>
      </c>
      <c r="AE191">
        <f>IF(AE72="","",SUM(AE$6:AE72))</f>
        <v>43951</v>
      </c>
      <c r="AF191">
        <f>IF(AF72="","",SUM(AF$6:AF72))</f>
        <v>5023</v>
      </c>
      <c r="AG191">
        <f>IF(AG72="","",SUM(AG$6:AG72))</f>
        <v>19077</v>
      </c>
      <c r="AH191">
        <f>IF(AH72="","",SUM(AH$6:AH72))</f>
        <v>20355</v>
      </c>
      <c r="AI191">
        <f>IF(AI72="","",SUM(AI$6:AI72))</f>
        <v>36427</v>
      </c>
    </row>
    <row r="192" spans="1:35" x14ac:dyDescent="0.3">
      <c r="A192" s="3">
        <v>188</v>
      </c>
      <c r="B192">
        <f>IF(B73="","",SUM(B$6:B73))</f>
        <v>17297</v>
      </c>
      <c r="C192">
        <f>IF(C73="","",SUM(C$6:C73))</f>
        <v>46238</v>
      </c>
      <c r="D192">
        <f>IF(D73="","",SUM(D$6:D73))</f>
        <v>28961</v>
      </c>
      <c r="E192">
        <f>IF(E73="","",SUM(E$6:E73))</f>
        <v>34753</v>
      </c>
      <c r="F192">
        <f>IF(F73="","",SUM(F$6:F73))</f>
        <v>23881</v>
      </c>
      <c r="G192">
        <f>IF(G73="","",SUM(G$6:G73))</f>
        <v>27882</v>
      </c>
      <c r="H192">
        <f>IF(H73="","",SUM(H$6:H73))</f>
        <v>28650</v>
      </c>
      <c r="I192">
        <f>IF(I73="","",SUM(I$6:I73))</f>
        <v>21869</v>
      </c>
      <c r="J192">
        <f>IF(J73="","",SUM(J$6:J73))</f>
        <v>26371</v>
      </c>
      <c r="K192">
        <f>IF(K73="","",SUM(K$6:K73))</f>
        <v>20359</v>
      </c>
      <c r="L192">
        <f>IF(L73="","",SUM(L$6:L73))</f>
        <v>18655</v>
      </c>
      <c r="M192">
        <f>IF(M73="","",SUM(M$6:M73))</f>
        <v>26377</v>
      </c>
      <c r="N192">
        <f>IF(N73="","",SUM(N$6:N73))</f>
        <v>20740</v>
      </c>
      <c r="O192">
        <f>IF(O73="","",SUM(O$6:O73))</f>
        <v>25195</v>
      </c>
      <c r="P192">
        <f>IF(P73="","",SUM(P$6:P73))</f>
        <v>36928</v>
      </c>
      <c r="Q192">
        <f>IF(Q73="","",SUM(Q$6:Q73))</f>
        <v>45454</v>
      </c>
      <c r="R192">
        <f>IF(R73="","",SUM(R$6:R73))</f>
        <v>19057</v>
      </c>
      <c r="S192">
        <f>IF(S73="","",SUM(S$6:S73))</f>
        <v>44348</v>
      </c>
      <c r="T192">
        <f>IF(T73="","",SUM(T$6:T73))</f>
        <v>26510</v>
      </c>
      <c r="U192">
        <f>IF(U73="","",SUM(U$6:U73))</f>
        <v>15007</v>
      </c>
      <c r="V192">
        <f>IF(V73="","",SUM(V$6:V73))</f>
        <v>13208</v>
      </c>
      <c r="W192">
        <f>IF(W73="","",SUM(W$6:W73))</f>
        <v>39095</v>
      </c>
      <c r="X192">
        <f>IF(X73="","",SUM(X$6:X73))</f>
        <v>33070</v>
      </c>
      <c r="Y192">
        <f>IF(Y73="","",SUM(Y$6:Y73))</f>
        <v>35103</v>
      </c>
      <c r="Z192">
        <f>IF(Z73="","",SUM(Z$6:Z73))</f>
        <v>21473</v>
      </c>
      <c r="AA192">
        <f>IF(AA73="","",SUM(AA$6:AA73))</f>
        <v>74540</v>
      </c>
      <c r="AB192">
        <f>IF(AB73="","",SUM(AB$6:AB73))</f>
        <v>35803</v>
      </c>
      <c r="AC192">
        <f>IF(AC73="","",SUM(AC$6:AC73))</f>
        <v>29295</v>
      </c>
      <c r="AD192">
        <f>IF(AD73="","",SUM(AD$6:AD73))</f>
        <v>22021</v>
      </c>
      <c r="AE192">
        <f>IF(AE73="","",SUM(AE$6:AE73))</f>
        <v>45307</v>
      </c>
      <c r="AF192">
        <f>IF(AF73="","",SUM(AF$6:AF73))</f>
        <v>5030</v>
      </c>
      <c r="AG192">
        <f>IF(AG73="","",SUM(AG$6:AG73))</f>
        <v>21140</v>
      </c>
      <c r="AH192">
        <f>IF(AH73="","",SUM(AH$6:AH73))</f>
        <v>22317</v>
      </c>
      <c r="AI192">
        <f>IF(AI73="","",SUM(AI$6:AI73))</f>
        <v>37744</v>
      </c>
    </row>
    <row r="193" spans="1:35" x14ac:dyDescent="0.3">
      <c r="A193" s="3">
        <v>189</v>
      </c>
      <c r="B193">
        <f>IF(B74="","",SUM(B$6:B74))</f>
        <v>20976</v>
      </c>
      <c r="C193">
        <f>IF(C74="","",SUM(C$6:C74))</f>
        <v>47168</v>
      </c>
      <c r="D193">
        <f>IF(D74="","",SUM(D$6:D74))</f>
        <v>29670</v>
      </c>
      <c r="E193">
        <f>IF(E74="","",SUM(E$6:E74))</f>
        <v>35586</v>
      </c>
      <c r="F193">
        <f>IF(F74="","",SUM(F$6:F74))</f>
        <v>27059</v>
      </c>
      <c r="G193">
        <f>IF(G74="","",SUM(G$6:G74))</f>
        <v>30264</v>
      </c>
      <c r="H193">
        <f>IF(H74="","",SUM(H$6:H74))</f>
        <v>29306</v>
      </c>
      <c r="I193">
        <f>IF(I74="","",SUM(I$6:I74))</f>
        <v>22467</v>
      </c>
      <c r="J193">
        <f>IF(J74="","",SUM(J$6:J74))</f>
        <v>28694</v>
      </c>
      <c r="K193">
        <f>IF(K74="","",SUM(K$6:K74))</f>
        <v>20650</v>
      </c>
      <c r="L193">
        <f>IF(L74="","",SUM(L$6:L74))</f>
        <v>20715</v>
      </c>
      <c r="M193">
        <f>IF(M74="","",SUM(M$6:M74))</f>
        <v>26508</v>
      </c>
      <c r="N193">
        <f>IF(N74="","",SUM(N$6:N74))</f>
        <v>20937</v>
      </c>
      <c r="O193">
        <f>IF(O74="","",SUM(O$6:O74))</f>
        <v>26659</v>
      </c>
      <c r="P193">
        <f>IF(P74="","",SUM(P$6:P74))</f>
        <v>39685</v>
      </c>
      <c r="Q193">
        <f>IF(Q74="","",SUM(Q$6:Q74))</f>
        <v>46458</v>
      </c>
      <c r="R193">
        <f>IF(R74="","",SUM(R$6:R74))</f>
        <v>20123</v>
      </c>
      <c r="S193">
        <f>IF(S74="","",SUM(S$6:S74))</f>
        <v>45980</v>
      </c>
      <c r="T193">
        <f>IF(T74="","",SUM(T$6:T74))</f>
        <v>28216</v>
      </c>
      <c r="U193">
        <f>IF(U74="","",SUM(U$6:U74))</f>
        <v>15848</v>
      </c>
      <c r="V193">
        <f>IF(V74="","",SUM(V$6:V74))</f>
        <v>13908</v>
      </c>
      <c r="W193">
        <f>IF(W74="","",SUM(W$6:W74))</f>
        <v>39100</v>
      </c>
      <c r="X193">
        <f>IF(X74="","",SUM(X$6:X74))</f>
        <v>34060</v>
      </c>
      <c r="Y193">
        <f>IF(Y74="","",SUM(Y$6:Y74))</f>
        <v>40450</v>
      </c>
      <c r="Z193">
        <f>IF(Z74="","",SUM(Z$6:Z74))</f>
        <v>23200</v>
      </c>
      <c r="AA193">
        <f>IF(AA74="","",SUM(AA$6:AA74))</f>
        <v>74979</v>
      </c>
      <c r="AB193">
        <f>IF(AB74="","",SUM(AB$6:AB74))</f>
        <v>40182</v>
      </c>
      <c r="AC193">
        <f>IF(AC74="","",SUM(AC$6:AC74))</f>
        <v>32577</v>
      </c>
      <c r="AD193">
        <f>IF(AD74="","",SUM(AD$6:AD74))</f>
        <v>25372</v>
      </c>
      <c r="AE193">
        <f>IF(AE74="","",SUM(AE$6:AE74))</f>
        <v>45823</v>
      </c>
      <c r="AF193">
        <f>IF(AF74="","",SUM(AF$6:AF74))</f>
        <v>5031</v>
      </c>
      <c r="AG193">
        <f>IF(AG74="","",SUM(AG$6:AG74))</f>
        <v>22906</v>
      </c>
      <c r="AH193">
        <f>IF(AH74="","",SUM(AH$6:AH74))</f>
        <v>23402</v>
      </c>
      <c r="AI193">
        <f>IF(AI74="","",SUM(AI$6:AI74))</f>
        <v>42038</v>
      </c>
    </row>
    <row r="194" spans="1:35" x14ac:dyDescent="0.3">
      <c r="A194" s="3">
        <v>190</v>
      </c>
      <c r="B194">
        <f>IF(B75="","",SUM(B$6:B75))</f>
        <v>21257</v>
      </c>
      <c r="C194">
        <f>IF(C75="","",SUM(C$6:C75))</f>
        <v>50781</v>
      </c>
      <c r="D194">
        <f>IF(D75="","",SUM(D$6:D75))</f>
        <v>31779</v>
      </c>
      <c r="E194">
        <f>IF(E75="","",SUM(E$6:E75))</f>
        <v>41164</v>
      </c>
      <c r="F194">
        <f>IF(F75="","",SUM(F$6:F75))</f>
        <v>28517</v>
      </c>
      <c r="G194">
        <f>IF(G75="","",SUM(G$6:G75))</f>
        <v>31825</v>
      </c>
      <c r="H194">
        <f>IF(H75="","",SUM(H$6:H75))</f>
        <v>29470</v>
      </c>
      <c r="I194">
        <f>IF(I75="","",SUM(I$6:I75))</f>
        <v>24174</v>
      </c>
      <c r="J194">
        <f>IF(J75="","",SUM(J$6:J75))</f>
        <v>29102</v>
      </c>
      <c r="K194">
        <f>IF(K75="","",SUM(K$6:K75))</f>
        <v>20708</v>
      </c>
      <c r="L194">
        <f>IF(L75="","",SUM(L$6:L75))</f>
        <v>22545</v>
      </c>
      <c r="M194">
        <f>IF(M75="","",SUM(M$6:M75))</f>
        <v>27019</v>
      </c>
      <c r="N194">
        <f>IF(N75="","",SUM(N$6:N75))</f>
        <v>22647</v>
      </c>
      <c r="O194">
        <f>IF(O75="","",SUM(O$6:O75))</f>
        <v>27466</v>
      </c>
      <c r="P194">
        <f>IF(P75="","",SUM(P$6:P75))</f>
        <v>41268</v>
      </c>
      <c r="Q194">
        <f>IF(Q75="","",SUM(Q$6:Q75))</f>
        <v>46492</v>
      </c>
      <c r="R194">
        <f>IF(R75="","",SUM(R$6:R75))</f>
        <v>21320</v>
      </c>
      <c r="S194">
        <f>IF(S75="","",SUM(S$6:S75))</f>
        <v>50155</v>
      </c>
      <c r="T194">
        <f>IF(T75="","",SUM(T$6:T75))</f>
        <v>30974</v>
      </c>
      <c r="U194">
        <f>IF(U75="","",SUM(U$6:U75))</f>
        <v>17835</v>
      </c>
      <c r="V194">
        <f>IF(V75="","",SUM(V$6:V75))</f>
        <v>14202</v>
      </c>
      <c r="W194">
        <f>IF(W75="","",SUM(W$6:W75))</f>
        <v>40424</v>
      </c>
      <c r="X194">
        <f>IF(X75="","",SUM(X$6:X75))</f>
        <v>35072</v>
      </c>
      <c r="Y194">
        <f>IF(Y75="","",SUM(Y$6:Y75))</f>
        <v>43371</v>
      </c>
      <c r="Z194">
        <f>IF(Z75="","",SUM(Z$6:Z75))</f>
        <v>24082</v>
      </c>
      <c r="AA194">
        <f>IF(AA75="","",SUM(AA$6:AA75))</f>
        <v>75311</v>
      </c>
      <c r="AB194">
        <f>IF(AB75="","",SUM(AB$6:AB75))</f>
        <v>41917</v>
      </c>
      <c r="AC194">
        <f>IF(AC75="","",SUM(AC$6:AC75))</f>
        <v>34349</v>
      </c>
      <c r="AD194">
        <f>IF(AD75="","",SUM(AD$6:AD75))</f>
        <v>26692</v>
      </c>
      <c r="AE194">
        <f>IF(AE75="","",SUM(AE$6:AE75))</f>
        <v>47335</v>
      </c>
      <c r="AF194">
        <f>IF(AF75="","",SUM(AF$6:AF75))</f>
        <v>5264</v>
      </c>
      <c r="AG194">
        <f>IF(AG75="","",SUM(AG$6:AG75))</f>
        <v>23336</v>
      </c>
      <c r="AH194">
        <f>IF(AH75="","",SUM(AH$6:AH75))</f>
        <v>27115</v>
      </c>
      <c r="AI194">
        <f>IF(AI75="","",SUM(AI$6:AI75))</f>
        <v>49745</v>
      </c>
    </row>
    <row r="195" spans="1:35" x14ac:dyDescent="0.3">
      <c r="A195" s="3">
        <v>191</v>
      </c>
      <c r="B195">
        <f>IF(B76="","",SUM(B$6:B76))</f>
        <v>21277</v>
      </c>
      <c r="C195">
        <f>IF(C76="","",SUM(C$6:C76))</f>
        <v>54965</v>
      </c>
      <c r="D195">
        <f>IF(D76="","",SUM(D$6:D76))</f>
        <v>33261</v>
      </c>
      <c r="E195">
        <f>IF(E76="","",SUM(E$6:E76))</f>
        <v>44846</v>
      </c>
      <c r="F195">
        <f>IF(F76="","",SUM(F$6:F76))</f>
        <v>29079</v>
      </c>
      <c r="G195">
        <f>IF(G76="","",SUM(G$6:G76))</f>
        <v>32686</v>
      </c>
      <c r="H195">
        <f>IF(H76="","",SUM(H$6:H76))</f>
        <v>31083</v>
      </c>
      <c r="I195">
        <f>IF(I76="","",SUM(I$6:I76))</f>
        <v>24501</v>
      </c>
      <c r="J195">
        <f>IF(J76="","",SUM(J$6:J76))</f>
        <v>33661</v>
      </c>
      <c r="K195">
        <f>IF(K76="","",SUM(K$6:K76))</f>
        <v>21260</v>
      </c>
      <c r="L195">
        <f>IF(L76="","",SUM(L$6:L76))</f>
        <v>23159</v>
      </c>
      <c r="M195">
        <f>IF(M76="","",SUM(M$6:M76))</f>
        <v>29575</v>
      </c>
      <c r="N195">
        <f>IF(N76="","",SUM(N$6:N76))</f>
        <v>23675</v>
      </c>
      <c r="O195">
        <f>IF(O76="","",SUM(O$6:O76))</f>
        <v>27773</v>
      </c>
      <c r="P195">
        <f>IF(P76="","",SUM(P$6:P76))</f>
        <v>41326</v>
      </c>
      <c r="Q195">
        <f>IF(Q76="","",SUM(Q$6:Q76))</f>
        <v>46740</v>
      </c>
      <c r="R195">
        <f>IF(R76="","",SUM(R$6:R76))</f>
        <v>21657</v>
      </c>
      <c r="S195">
        <f>IF(S76="","",SUM(S$6:S76))</f>
        <v>50605</v>
      </c>
      <c r="T195">
        <f>IF(T76="","",SUM(T$6:T76))</f>
        <v>32197</v>
      </c>
      <c r="U195">
        <f>IF(U76="","",SUM(U$6:U76))</f>
        <v>18256</v>
      </c>
      <c r="V195">
        <f>IF(V76="","",SUM(V$6:V76))</f>
        <v>14770</v>
      </c>
      <c r="W195">
        <f>IF(W76="","",SUM(W$6:W76))</f>
        <v>46974</v>
      </c>
      <c r="X195">
        <f>IF(X76="","",SUM(X$6:X76))</f>
        <v>36212</v>
      </c>
      <c r="Y195">
        <f>IF(Y76="","",SUM(Y$6:Y76))</f>
        <v>47372</v>
      </c>
      <c r="Z195">
        <f>IF(Z76="","",SUM(Z$6:Z76))</f>
        <v>25053</v>
      </c>
      <c r="AA195">
        <f>IF(AA76="","",SUM(AA$6:AA76))</f>
        <v>75616</v>
      </c>
      <c r="AB195">
        <f>IF(AB76="","",SUM(AB$6:AB76))</f>
        <v>43253</v>
      </c>
      <c r="AC195">
        <f>IF(AC76="","",SUM(AC$6:AC76))</f>
        <v>35958</v>
      </c>
      <c r="AD195">
        <f>IF(AD76="","",SUM(AD$6:AD76))</f>
        <v>27995</v>
      </c>
      <c r="AE195">
        <f>IF(AE76="","",SUM(AE$6:AE76))</f>
        <v>51377</v>
      </c>
      <c r="AF195">
        <f>IF(AF76="","",SUM(AF$6:AF76))</f>
        <v>9489</v>
      </c>
      <c r="AG195">
        <f>IF(AG76="","",SUM(AG$6:AG76))</f>
        <v>23641</v>
      </c>
      <c r="AH195">
        <f>IF(AH76="","",SUM(AH$6:AH76))</f>
        <v>28475</v>
      </c>
      <c r="AI195">
        <f>IF(AI76="","",SUM(AI$6:AI76))</f>
        <v>51232</v>
      </c>
    </row>
    <row r="196" spans="1:35" x14ac:dyDescent="0.3">
      <c r="A196" s="3">
        <v>192</v>
      </c>
      <c r="B196">
        <f>IF(B77="","",SUM(B$6:B77))</f>
        <v>22606</v>
      </c>
      <c r="C196">
        <f>IF(C77="","",SUM(C$6:C77))</f>
        <v>57388</v>
      </c>
      <c r="D196">
        <f>IF(D77="","",SUM(D$6:D77))</f>
        <v>33477</v>
      </c>
      <c r="E196">
        <f>IF(E77="","",SUM(E$6:E77))</f>
        <v>47601</v>
      </c>
      <c r="F196">
        <f>IF(F77="","",SUM(F$6:F77))</f>
        <v>29712</v>
      </c>
      <c r="G196">
        <f>IF(G77="","",SUM(G$6:G77))</f>
        <v>34670</v>
      </c>
      <c r="H196">
        <f>IF(H77="","",SUM(H$6:H77))</f>
        <v>33803</v>
      </c>
      <c r="I196">
        <f>IF(I77="","",SUM(I$6:I77))</f>
        <v>24571</v>
      </c>
      <c r="J196">
        <f>IF(J77="","",SUM(J$6:J77))</f>
        <v>35195</v>
      </c>
      <c r="K196">
        <f>IF(K77="","",SUM(K$6:K77))</f>
        <v>22313</v>
      </c>
      <c r="L196">
        <f>IF(L77="","",SUM(L$6:L77))</f>
        <v>24551</v>
      </c>
      <c r="M196">
        <f>IF(M77="","",SUM(M$6:M77))</f>
        <v>29857</v>
      </c>
      <c r="N196">
        <f>IF(N77="","",SUM(N$6:N77))</f>
        <v>25860</v>
      </c>
      <c r="O196">
        <f>IF(O77="","",SUM(O$6:O77))</f>
        <v>27911</v>
      </c>
      <c r="P196">
        <f>IF(P77="","",SUM(P$6:P77))</f>
        <v>44073</v>
      </c>
      <c r="Q196">
        <f>IF(Q77="","",SUM(Q$6:Q77))</f>
        <v>48441</v>
      </c>
      <c r="R196">
        <f>IF(R77="","",SUM(R$6:R77))</f>
        <v>22212</v>
      </c>
      <c r="S196">
        <f>IF(S77="","",SUM(S$6:S77))</f>
        <v>52610</v>
      </c>
      <c r="T196">
        <f>IF(T77="","",SUM(T$6:T77))</f>
        <v>32387</v>
      </c>
      <c r="U196">
        <f>IF(U77="","",SUM(U$6:U77))</f>
        <v>19826</v>
      </c>
      <c r="V196">
        <f>IF(V77="","",SUM(V$6:V77))</f>
        <v>15027</v>
      </c>
      <c r="W196">
        <f>IF(W77="","",SUM(W$6:W77))</f>
        <v>49765</v>
      </c>
      <c r="X196">
        <f>IF(X77="","",SUM(X$6:X77))</f>
        <v>37144</v>
      </c>
      <c r="Y196">
        <f>IF(Y77="","",SUM(Y$6:Y77))</f>
        <v>50665</v>
      </c>
      <c r="Z196">
        <f>IF(Z77="","",SUM(Z$6:Z77))</f>
        <v>26357</v>
      </c>
      <c r="AA196">
        <f>IF(AA77="","",SUM(AA$6:AA77))</f>
        <v>76697</v>
      </c>
      <c r="AB196">
        <f>IF(AB77="","",SUM(AB$6:AB77))</f>
        <v>46775</v>
      </c>
      <c r="AC196">
        <f>IF(AC77="","",SUM(AC$6:AC77))</f>
        <v>38666</v>
      </c>
      <c r="AD196">
        <f>IF(AD77="","",SUM(AD$6:AD77))</f>
        <v>29441</v>
      </c>
      <c r="AE196">
        <f>IF(AE77="","",SUM(AE$6:AE77))</f>
        <v>52290</v>
      </c>
      <c r="AF196">
        <f>IF(AF77="","",SUM(AF$6:AF77))</f>
        <v>10873</v>
      </c>
      <c r="AG196">
        <f>IF(AG77="","",SUM(AG$6:AG77))</f>
        <v>25321</v>
      </c>
      <c r="AH196">
        <f>IF(AH77="","",SUM(AH$6:AH77))</f>
        <v>30431</v>
      </c>
      <c r="AI196">
        <f>IF(AI77="","",SUM(AI$6:AI77))</f>
        <v>54443</v>
      </c>
    </row>
    <row r="197" spans="1:35" x14ac:dyDescent="0.3">
      <c r="A197" s="3">
        <v>193</v>
      </c>
      <c r="B197">
        <f>IF(B78="","",SUM(B$6:B78))</f>
        <v>24289</v>
      </c>
      <c r="C197">
        <f>IF(C78="","",SUM(C$6:C78))</f>
        <v>58887</v>
      </c>
      <c r="D197">
        <f>IF(D78="","",SUM(D$6:D78))</f>
        <v>33699</v>
      </c>
      <c r="E197">
        <f>IF(E78="","",SUM(E$6:E78))</f>
        <v>48834</v>
      </c>
      <c r="F197">
        <f>IF(F78="","",SUM(F$6:F78))</f>
        <v>30314</v>
      </c>
      <c r="G197">
        <f>IF(G78="","",SUM(G$6:G78))</f>
        <v>37278</v>
      </c>
      <c r="H197">
        <f>IF(H78="","",SUM(H$6:H78))</f>
        <v>37225</v>
      </c>
      <c r="I197">
        <f>IF(I78="","",SUM(I$6:I78))</f>
        <v>25425</v>
      </c>
      <c r="J197">
        <f>IF(J78="","",SUM(J$6:J78))</f>
        <v>36367</v>
      </c>
      <c r="K197">
        <f>IF(K78="","",SUM(K$6:K78))</f>
        <v>24698</v>
      </c>
      <c r="L197">
        <f>IF(L78="","",SUM(L$6:L78))</f>
        <v>26768</v>
      </c>
      <c r="M197">
        <f>IF(M78="","",SUM(M$6:M78))</f>
        <v>29919</v>
      </c>
      <c r="N197">
        <f>IF(N78="","",SUM(N$6:N78))</f>
        <v>25963</v>
      </c>
      <c r="O197">
        <f>IF(O78="","",SUM(O$6:O78))</f>
        <v>27955</v>
      </c>
      <c r="P197">
        <f>IF(P78="","",SUM(P$6:P78))</f>
        <v>44796</v>
      </c>
      <c r="Q197">
        <f>IF(Q78="","",SUM(Q$6:Q78))</f>
        <v>48872</v>
      </c>
      <c r="R197">
        <f>IF(R78="","",SUM(R$6:R78))</f>
        <v>23014</v>
      </c>
      <c r="S197">
        <f>IF(S78="","",SUM(S$6:S78))</f>
        <v>54485</v>
      </c>
      <c r="T197">
        <f>IF(T78="","",SUM(T$6:T78))</f>
        <v>34412</v>
      </c>
      <c r="U197">
        <f>IF(U78="","",SUM(U$6:U78))</f>
        <v>20264</v>
      </c>
      <c r="V197">
        <f>IF(V78="","",SUM(V$6:V78))</f>
        <v>15299</v>
      </c>
      <c r="W197">
        <f>IF(W78="","",SUM(W$6:W78))</f>
        <v>55507</v>
      </c>
      <c r="X197">
        <f>IF(X78="","",SUM(X$6:X78))</f>
        <v>37931</v>
      </c>
      <c r="Y197">
        <f>IF(Y78="","",SUM(Y$6:Y78))</f>
        <v>52843</v>
      </c>
      <c r="Z197">
        <f>IF(Z78="","",SUM(Z$6:Z78))</f>
        <v>27809</v>
      </c>
      <c r="AA197">
        <f>IF(AA78="","",SUM(AA$6:AA78))</f>
        <v>79417</v>
      </c>
      <c r="AB197">
        <f>IF(AB78="","",SUM(AB$6:AB78))</f>
        <v>48342</v>
      </c>
      <c r="AC197">
        <f>IF(AC78="","",SUM(AC$6:AC78))</f>
        <v>44316</v>
      </c>
      <c r="AD197">
        <f>IF(AD78="","",SUM(AD$6:AD78))</f>
        <v>31111</v>
      </c>
      <c r="AE197">
        <f>IF(AE78="","",SUM(AE$6:AE78))</f>
        <v>52640</v>
      </c>
      <c r="AF197">
        <f>IF(AF78="","",SUM(AF$6:AF78))</f>
        <v>11575</v>
      </c>
      <c r="AG197">
        <f>IF(AG78="","",SUM(AG$6:AG78))</f>
        <v>26186</v>
      </c>
      <c r="AH197">
        <f>IF(AH78="","",SUM(AH$6:AH78))</f>
        <v>32493</v>
      </c>
      <c r="AI197">
        <f>IF(AI78="","",SUM(AI$6:AI78))</f>
        <v>56962</v>
      </c>
    </row>
    <row r="198" spans="1:35" x14ac:dyDescent="0.3">
      <c r="A198" s="3">
        <v>194</v>
      </c>
      <c r="B198">
        <f>IF(B79="","",SUM(B$6:B79))</f>
        <v>25310</v>
      </c>
      <c r="C198">
        <f>IF(C79="","",SUM(C$6:C79))</f>
        <v>60077</v>
      </c>
      <c r="D198">
        <f>IF(D79="","",SUM(D$6:D79))</f>
        <v>34538</v>
      </c>
      <c r="E198">
        <f>IF(E79="","",SUM(E$6:E79))</f>
        <v>51741</v>
      </c>
      <c r="F198">
        <f>IF(F79="","",SUM(F$6:F79))</f>
        <v>32359</v>
      </c>
      <c r="G198">
        <f>IF(G79="","",SUM(G$6:G79))</f>
        <v>37565</v>
      </c>
      <c r="H198">
        <f>IF(H79="","",SUM(H$6:H79))</f>
        <v>38532</v>
      </c>
      <c r="I198">
        <f>IF(I79="","",SUM(I$6:I79))</f>
        <v>26352</v>
      </c>
      <c r="J198">
        <f>IF(J79="","",SUM(J$6:J79))</f>
        <v>36785</v>
      </c>
      <c r="K198">
        <f>IF(K79="","",SUM(K$6:K79))</f>
        <v>25669</v>
      </c>
      <c r="L198">
        <f>IF(L79="","",SUM(L$6:L79))</f>
        <v>30624</v>
      </c>
      <c r="M198">
        <f>IF(M79="","",SUM(M$6:M79))</f>
        <v>31275</v>
      </c>
      <c r="N198">
        <f>IF(N79="","",SUM(N$6:N79))</f>
        <v>26717</v>
      </c>
      <c r="O198">
        <f>IF(O79="","",SUM(O$6:O79))</f>
        <v>28891</v>
      </c>
      <c r="P198">
        <f>IF(P79="","",SUM(P$6:P79))</f>
        <v>50329</v>
      </c>
      <c r="Q198">
        <f>IF(Q79="","",SUM(Q$6:Q79))</f>
        <v>50059</v>
      </c>
      <c r="R198">
        <f>IF(R79="","",SUM(R$6:R79))</f>
        <v>24746</v>
      </c>
      <c r="S198">
        <f>IF(S79="","",SUM(S$6:S79))</f>
        <v>54644</v>
      </c>
      <c r="T198">
        <f>IF(T79="","",SUM(T$6:T79))</f>
        <v>36146</v>
      </c>
      <c r="U198">
        <f>IF(U79="","",SUM(U$6:U79))</f>
        <v>22254</v>
      </c>
      <c r="V198">
        <f>IF(V79="","",SUM(V$6:V79))</f>
        <v>16716</v>
      </c>
      <c r="W198">
        <f>IF(W79="","",SUM(W$6:W79))</f>
        <v>58118</v>
      </c>
      <c r="X198">
        <f>IF(X79="","",SUM(X$6:X79))</f>
        <v>38574</v>
      </c>
      <c r="Y198">
        <f>IF(Y79="","",SUM(Y$6:Y79))</f>
        <v>53774</v>
      </c>
      <c r="Z198">
        <f>IF(Z79="","",SUM(Z$6:Z79))</f>
        <v>29524</v>
      </c>
      <c r="AA198">
        <f>IF(AA79="","",SUM(AA$6:AA79))</f>
        <v>83999</v>
      </c>
      <c r="AB198">
        <f>IF(AB79="","",SUM(AB$6:AB79))</f>
        <v>50840</v>
      </c>
      <c r="AC198">
        <f>IF(AC79="","",SUM(AC$6:AC79))</f>
        <v>47223</v>
      </c>
      <c r="AD198">
        <f>IF(AD79="","",SUM(AD$6:AD79))</f>
        <v>32421</v>
      </c>
      <c r="AE198">
        <f>IF(AE79="","",SUM(AE$6:AE79))</f>
        <v>53667</v>
      </c>
      <c r="AF198">
        <f>IF(AF79="","",SUM(AF$6:AF79))</f>
        <v>11948</v>
      </c>
      <c r="AG198">
        <f>IF(AG79="","",SUM(AG$6:AG79))</f>
        <v>27307</v>
      </c>
      <c r="AH198">
        <f>IF(AH79="","",SUM(AH$6:AH79))</f>
        <v>34567</v>
      </c>
      <c r="AI198">
        <f>IF(AI79="","",SUM(AI$6:AI79))</f>
        <v>58087</v>
      </c>
    </row>
    <row r="199" spans="1:35" x14ac:dyDescent="0.3">
      <c r="A199" s="3">
        <v>195</v>
      </c>
      <c r="B199">
        <f>IF(B80="","",SUM(B$6:B80))</f>
        <v>29520</v>
      </c>
      <c r="C199">
        <f>IF(C80="","",SUM(C$6:C80))</f>
        <v>60625</v>
      </c>
      <c r="D199">
        <f>IF(D80="","",SUM(D$6:D80))</f>
        <v>35098</v>
      </c>
      <c r="E199">
        <f>IF(E80="","",SUM(E$6:E80))</f>
        <v>53720</v>
      </c>
      <c r="F199">
        <f>IF(F80="","",SUM(F$6:F80))</f>
        <v>33911</v>
      </c>
      <c r="G199">
        <f>IF(G80="","",SUM(G$6:G80))</f>
        <v>38496</v>
      </c>
      <c r="H199">
        <f>IF(H80="","",SUM(H$6:H80))</f>
        <v>40000</v>
      </c>
      <c r="I199">
        <f>IF(I80="","",SUM(I$6:I80))</f>
        <v>26829</v>
      </c>
      <c r="J199">
        <f>IF(J80="","",SUM(J$6:J80))</f>
        <v>37099</v>
      </c>
      <c r="K199">
        <f>IF(K80="","",SUM(K$6:K80))</f>
        <v>25836</v>
      </c>
      <c r="L199">
        <f>IF(L80="","",SUM(L$6:L80))</f>
        <v>34270</v>
      </c>
      <c r="M199">
        <f>IF(M80="","",SUM(M$6:M80))</f>
        <v>32477</v>
      </c>
      <c r="N199">
        <f>IF(N80="","",SUM(N$6:N80))</f>
        <v>26922</v>
      </c>
      <c r="O199">
        <f>IF(O80="","",SUM(O$6:O80))</f>
        <v>32108</v>
      </c>
      <c r="P199">
        <f>IF(P80="","",SUM(P$6:P80))</f>
        <v>52707</v>
      </c>
      <c r="Q199">
        <f>IF(Q80="","",SUM(Q$6:Q80))</f>
        <v>51664</v>
      </c>
      <c r="R199">
        <f>IF(R80="","",SUM(R$6:R80))</f>
        <v>25051</v>
      </c>
      <c r="S199">
        <f>IF(S80="","",SUM(S$6:S80))</f>
        <v>54962</v>
      </c>
      <c r="T199">
        <f>IF(T80="","",SUM(T$6:T80))</f>
        <v>40806</v>
      </c>
      <c r="U199">
        <f>IF(U80="","",SUM(U$6:U80))</f>
        <v>25559</v>
      </c>
      <c r="V199">
        <f>IF(V80="","",SUM(V$6:V80))</f>
        <v>16742</v>
      </c>
      <c r="W199">
        <f>IF(W80="","",SUM(W$6:W80))</f>
        <v>60431</v>
      </c>
      <c r="X199">
        <f>IF(X80="","",SUM(X$6:X80))</f>
        <v>39316</v>
      </c>
      <c r="Y199">
        <f>IF(Y80="","",SUM(Y$6:Y80))</f>
        <v>56286</v>
      </c>
      <c r="Z199">
        <f>IF(Z80="","",SUM(Z$6:Z80))</f>
        <v>30461</v>
      </c>
      <c r="AA199">
        <f>IF(AA80="","",SUM(AA$6:AA80))</f>
        <v>89100</v>
      </c>
      <c r="AB199">
        <f>IF(AB80="","",SUM(AB$6:AB80))</f>
        <v>52873</v>
      </c>
      <c r="AC199">
        <f>IF(AC80="","",SUM(AC$6:AC80))</f>
        <v>50639</v>
      </c>
      <c r="AD199">
        <f>IF(AD80="","",SUM(AD$6:AD80))</f>
        <v>32655</v>
      </c>
      <c r="AE199">
        <f>IF(AE80="","",SUM(AE$6:AE80))</f>
        <v>55096</v>
      </c>
      <c r="AF199">
        <f>IF(AF80="","",SUM(AF$6:AF80))</f>
        <v>12202</v>
      </c>
      <c r="AG199">
        <f>IF(AG80="","",SUM(AG$6:AG80))</f>
        <v>28736</v>
      </c>
      <c r="AH199">
        <f>IF(AH80="","",SUM(AH$6:AH80))</f>
        <v>35067</v>
      </c>
      <c r="AI199">
        <f>IF(AI80="","",SUM(AI$6:AI80))</f>
        <v>58837</v>
      </c>
    </row>
    <row r="200" spans="1:35" x14ac:dyDescent="0.3">
      <c r="A200" s="3">
        <v>196</v>
      </c>
      <c r="B200">
        <f>IF(B81="","",SUM(B$6:B81))</f>
        <v>29775</v>
      </c>
      <c r="C200">
        <f>IF(C81="","",SUM(C$6:C81))</f>
        <v>60719</v>
      </c>
      <c r="D200">
        <f>IF(D81="","",SUM(D$6:D81))</f>
        <v>38654</v>
      </c>
      <c r="E200">
        <f>IF(E81="","",SUM(E$6:E81))</f>
        <v>56315</v>
      </c>
      <c r="F200">
        <f>IF(F81="","",SUM(F$6:F81))</f>
        <v>35546</v>
      </c>
      <c r="G200">
        <f>IF(G81="","",SUM(G$6:G81))</f>
        <v>39338</v>
      </c>
      <c r="H200">
        <f>IF(H81="","",SUM(H$6:H81))</f>
        <v>41806</v>
      </c>
      <c r="I200">
        <f>IF(I81="","",SUM(I$6:I81))</f>
        <v>27490</v>
      </c>
      <c r="J200">
        <f>IF(J81="","",SUM(J$6:J81))</f>
        <v>37826</v>
      </c>
      <c r="K200">
        <f>IF(K81="","",SUM(K$6:K81))</f>
        <v>26185</v>
      </c>
      <c r="L200">
        <f>IF(L81="","",SUM(L$6:L81))</f>
        <v>34901</v>
      </c>
      <c r="M200">
        <f>IF(M81="","",SUM(M$6:M81))</f>
        <v>33846</v>
      </c>
      <c r="N200">
        <f>IF(N81="","",SUM(N$6:N81))</f>
        <v>27326</v>
      </c>
      <c r="O200">
        <f>IF(O81="","",SUM(O$6:O81))</f>
        <v>34242</v>
      </c>
      <c r="P200">
        <f>IF(P81="","",SUM(P$6:P81))</f>
        <v>53235</v>
      </c>
      <c r="Q200">
        <f>IF(Q81="","",SUM(Q$6:Q81))</f>
        <v>52812</v>
      </c>
      <c r="R200">
        <f>IF(R81="","",SUM(R$6:R81))</f>
        <v>25100</v>
      </c>
      <c r="S200">
        <f>IF(S81="","",SUM(S$6:S81))</f>
        <v>55237</v>
      </c>
      <c r="T200">
        <f>IF(T81="","",SUM(T$6:T81))</f>
        <v>42562</v>
      </c>
      <c r="U200">
        <f>IF(U81="","",SUM(U$6:U81))</f>
        <v>27383</v>
      </c>
      <c r="V200">
        <f>IF(V81="","",SUM(V$6:V81))</f>
        <v>17873</v>
      </c>
      <c r="W200">
        <f>IF(W81="","",SUM(W$6:W81))</f>
        <v>60607</v>
      </c>
      <c r="X200">
        <f>IF(X81="","",SUM(X$6:X81))</f>
        <v>39571</v>
      </c>
      <c r="Y200">
        <f>IF(Y81="","",SUM(Y$6:Y81))</f>
        <v>57102</v>
      </c>
      <c r="Z200">
        <f>IF(Z81="","",SUM(Z$6:Z81))</f>
        <v>31140</v>
      </c>
      <c r="AA200">
        <f>IF(AA81="","",SUM(AA$6:AA81))</f>
        <v>92504</v>
      </c>
      <c r="AB200">
        <f>IF(AB81="","",SUM(AB$6:AB81))</f>
        <v>54011</v>
      </c>
      <c r="AC200">
        <f>IF(AC81="","",SUM(AC$6:AC81))</f>
        <v>52961</v>
      </c>
      <c r="AD200">
        <f>IF(AD81="","",SUM(AD$6:AD81))</f>
        <v>33629</v>
      </c>
      <c r="AE200">
        <f>IF(AE81="","",SUM(AE$6:AE81))</f>
        <v>55880</v>
      </c>
      <c r="AF200">
        <f>IF(AF81="","",SUM(AF$6:AF81))</f>
        <v>14414</v>
      </c>
      <c r="AG200">
        <f>IF(AG81="","",SUM(AG$6:AG81))</f>
        <v>29613</v>
      </c>
      <c r="AH200">
        <f>IF(AH81="","",SUM(AH$6:AH81))</f>
        <v>36800</v>
      </c>
      <c r="AI200">
        <f>IF(AI81="","",SUM(AI$6:AI81))</f>
        <v>59698</v>
      </c>
    </row>
    <row r="201" spans="1:35" x14ac:dyDescent="0.3">
      <c r="A201" s="3">
        <v>197</v>
      </c>
      <c r="B201">
        <f>IF(B82="","",SUM(B$6:B82))</f>
        <v>29847</v>
      </c>
      <c r="C201">
        <f>IF(C82="","",SUM(C$6:C82))</f>
        <v>61320</v>
      </c>
      <c r="D201">
        <f>IF(D82="","",SUM(D$6:D82))</f>
        <v>43577</v>
      </c>
      <c r="E201">
        <f>IF(E82="","",SUM(E$6:E82))</f>
        <v>57877</v>
      </c>
      <c r="F201">
        <f>IF(F82="","",SUM(F$6:F82))</f>
        <v>36878</v>
      </c>
      <c r="G201">
        <f>IF(G82="","",SUM(G$6:G82))</f>
        <v>40152</v>
      </c>
      <c r="H201">
        <f>IF(H82="","",SUM(H$6:H82))</f>
        <v>42537</v>
      </c>
      <c r="I201">
        <f>IF(I82="","",SUM(I$6:I82))</f>
        <v>27731</v>
      </c>
      <c r="J201">
        <f>IF(J82="","",SUM(J$6:J82))</f>
        <v>38957</v>
      </c>
      <c r="K201">
        <f>IF(K82="","",SUM(K$6:K82))</f>
        <v>26970</v>
      </c>
      <c r="L201">
        <f>IF(L82="","",SUM(L$6:L82))</f>
        <v>36836</v>
      </c>
      <c r="M201">
        <f>IF(M82="","",SUM(M$6:M82))</f>
        <v>36271</v>
      </c>
      <c r="N201">
        <f>IF(N82="","",SUM(N$6:N82))</f>
        <v>27729</v>
      </c>
      <c r="O201">
        <f>IF(O82="","",SUM(O$6:O82))</f>
        <v>36958</v>
      </c>
      <c r="P201">
        <f>IF(P82="","",SUM(P$6:P82))</f>
        <v>58550</v>
      </c>
      <c r="Q201">
        <f>IF(Q82="","",SUM(Q$6:Q82))</f>
        <v>53051</v>
      </c>
      <c r="R201">
        <f>IF(R82="","",SUM(R$6:R82))</f>
        <v>27729</v>
      </c>
      <c r="S201">
        <f>IF(S82="","",SUM(S$6:S82))</f>
        <v>56206</v>
      </c>
      <c r="T201">
        <f>IF(T82="","",SUM(T$6:T82))</f>
        <v>44534</v>
      </c>
      <c r="U201">
        <f>IF(U82="","",SUM(U$6:U82))</f>
        <v>28638</v>
      </c>
      <c r="V201">
        <f>IF(V82="","",SUM(V$6:V82))</f>
        <v>19655</v>
      </c>
      <c r="W201">
        <f>IF(W82="","",SUM(W$6:W82))</f>
        <v>60732</v>
      </c>
      <c r="X201">
        <f>IF(X82="","",SUM(X$6:X82))</f>
        <v>40541</v>
      </c>
      <c r="Y201">
        <f>IF(Y82="","",SUM(Y$6:Y82))</f>
        <v>60824</v>
      </c>
      <c r="Z201">
        <f>IF(Z82="","",SUM(Z$6:Z82))</f>
        <v>31217</v>
      </c>
      <c r="AA201">
        <f>IF(AA82="","",SUM(AA$6:AA82))</f>
        <v>94140</v>
      </c>
      <c r="AB201">
        <f>IF(AB82="","",SUM(AB$6:AB82))</f>
        <v>56001</v>
      </c>
      <c r="AC201">
        <f>IF(AC82="","",SUM(AC$6:AC82))</f>
        <v>54216</v>
      </c>
      <c r="AD201">
        <f>IF(AD82="","",SUM(AD$6:AD82))</f>
        <v>33676</v>
      </c>
      <c r="AE201">
        <f>IF(AE82="","",SUM(AE$6:AE82))</f>
        <v>58426</v>
      </c>
      <c r="AF201">
        <f>IF(AF82="","",SUM(AF$6:AF82))</f>
        <v>15945</v>
      </c>
      <c r="AG201">
        <f>IF(AG82="","",SUM(AG$6:AG82))</f>
        <v>34518</v>
      </c>
      <c r="AH201">
        <f>IF(AH82="","",SUM(AH$6:AH82))</f>
        <v>38826</v>
      </c>
      <c r="AI201">
        <f>IF(AI82="","",SUM(AI$6:AI82))</f>
        <v>65220</v>
      </c>
    </row>
    <row r="202" spans="1:35" x14ac:dyDescent="0.3">
      <c r="A202" s="3">
        <v>198</v>
      </c>
      <c r="B202">
        <f>IF(B83="","",SUM(B$6:B83))</f>
        <v>30022</v>
      </c>
      <c r="C202">
        <f>IF(C83="","",SUM(C$6:C83))</f>
        <v>61792</v>
      </c>
      <c r="D202">
        <f>IF(D83="","",SUM(D$6:D83))</f>
        <v>45328</v>
      </c>
      <c r="E202">
        <f>IF(E83="","",SUM(E$6:E83))</f>
        <v>60515</v>
      </c>
      <c r="F202">
        <f>IF(F83="","",SUM(F$6:F83))</f>
        <v>37906</v>
      </c>
      <c r="G202">
        <f>IF(G83="","",SUM(G$6:G83))</f>
        <v>40298</v>
      </c>
      <c r="H202">
        <f>IF(H83="","",SUM(H$6:H83))</f>
        <v>42998</v>
      </c>
      <c r="I202">
        <f>IF(I83="","",SUM(I$6:I83))</f>
        <v>28800</v>
      </c>
      <c r="J202">
        <f>IF(J83="","",SUM(J$6:J83))</f>
        <v>40010</v>
      </c>
      <c r="K202">
        <f>IF(K83="","",SUM(K$6:K83))</f>
        <v>27565</v>
      </c>
      <c r="L202">
        <f>IF(L83="","",SUM(L$6:L83))</f>
        <v>37442</v>
      </c>
      <c r="M202">
        <f>IF(M83="","",SUM(M$6:M83))</f>
        <v>37000</v>
      </c>
      <c r="N202">
        <f>IF(N83="","",SUM(N$6:N83))</f>
        <v>27754</v>
      </c>
      <c r="O202">
        <f>IF(O83="","",SUM(O$6:O83))</f>
        <v>39568</v>
      </c>
      <c r="P202">
        <f>IF(P83="","",SUM(P$6:P83))</f>
        <v>58662</v>
      </c>
      <c r="Q202">
        <f>IF(Q83="","",SUM(Q$6:Q83))</f>
        <v>54306</v>
      </c>
      <c r="R202">
        <f>IF(R83="","",SUM(R$6:R83))</f>
        <v>29312</v>
      </c>
      <c r="S202">
        <f>IF(S83="","",SUM(S$6:S83))</f>
        <v>56656</v>
      </c>
      <c r="T202">
        <f>IF(T83="","",SUM(T$6:T83))</f>
        <v>44807</v>
      </c>
      <c r="U202">
        <f>IF(U83="","",SUM(U$6:U83))</f>
        <v>29261</v>
      </c>
      <c r="V202">
        <f>IF(V83="","",SUM(V$6:V83))</f>
        <v>19794</v>
      </c>
      <c r="W202">
        <f>IF(W83="","",SUM(W$6:W83))</f>
        <v>61420</v>
      </c>
      <c r="X202">
        <f>IF(X83="","",SUM(X$6:X83))</f>
        <v>42554</v>
      </c>
      <c r="Y202">
        <f>IF(Y83="","",SUM(Y$6:Y83))</f>
        <v>63181</v>
      </c>
      <c r="Z202">
        <f>IF(Z83="","",SUM(Z$6:Z83))</f>
        <v>31769</v>
      </c>
      <c r="AA202">
        <f>IF(AA83="","",SUM(AA$6:AA83))</f>
        <v>96055</v>
      </c>
      <c r="AB202">
        <f>IF(AB83="","",SUM(AB$6:AB83))</f>
        <v>59348</v>
      </c>
      <c r="AC202">
        <f>IF(AC83="","",SUM(AC$6:AC83))</f>
        <v>59277</v>
      </c>
      <c r="AD202">
        <f>IF(AD83="","",SUM(AD$6:AD83))</f>
        <v>35062</v>
      </c>
      <c r="AE202">
        <f>IF(AE83="","",SUM(AE$6:AE83))</f>
        <v>60633</v>
      </c>
      <c r="AF202">
        <f>IF(AF83="","",SUM(AF$6:AF83))</f>
        <v>16142</v>
      </c>
      <c r="AG202">
        <f>IF(AG83="","",SUM(AG$6:AG83))</f>
        <v>36068</v>
      </c>
      <c r="AH202">
        <f>IF(AH83="","",SUM(AH$6:AH83))</f>
        <v>39444</v>
      </c>
      <c r="AI202">
        <f>IF(AI83="","",SUM(AI$6:AI83))</f>
        <v>68373</v>
      </c>
    </row>
    <row r="203" spans="1:35" x14ac:dyDescent="0.3">
      <c r="A203" s="3">
        <v>199</v>
      </c>
      <c r="B203">
        <f>IF(B84="","",SUM(B$6:B84))</f>
        <v>30212</v>
      </c>
      <c r="C203">
        <f>IF(C84="","",SUM(C$6:C84))</f>
        <v>62729</v>
      </c>
      <c r="D203">
        <f>IF(D84="","",SUM(D$6:D84))</f>
        <v>46268</v>
      </c>
      <c r="E203">
        <f>IF(E84="","",SUM(E$6:E84))</f>
        <v>61996</v>
      </c>
      <c r="F203">
        <f>IF(F84="","",SUM(F$6:F84))</f>
        <v>40725</v>
      </c>
      <c r="G203">
        <f>IF(G84="","",SUM(G$6:G84))</f>
        <v>40519</v>
      </c>
      <c r="H203">
        <f>IF(H84="","",SUM(H$6:H84))</f>
        <v>45826</v>
      </c>
      <c r="I203">
        <f>IF(I84="","",SUM(I$6:I84))</f>
        <v>29966</v>
      </c>
      <c r="J203">
        <f>IF(J84="","",SUM(J$6:J84))</f>
        <v>41923</v>
      </c>
      <c r="K203">
        <f>IF(K84="","",SUM(K$6:K84))</f>
        <v>29053</v>
      </c>
      <c r="L203">
        <f>IF(L84="","",SUM(L$6:L84))</f>
        <v>39658</v>
      </c>
      <c r="M203">
        <f>IF(M84="","",SUM(M$6:M84))</f>
        <v>37183</v>
      </c>
      <c r="N203">
        <f>IF(N84="","",SUM(N$6:N84))</f>
        <v>29107</v>
      </c>
      <c r="O203">
        <f>IF(O84="","",SUM(O$6:O84))</f>
        <v>40552</v>
      </c>
      <c r="P203">
        <f>IF(P84="","",SUM(P$6:P84))</f>
        <v>61186</v>
      </c>
      <c r="Q203">
        <f>IF(Q84="","",SUM(Q$6:Q84))</f>
        <v>56405</v>
      </c>
      <c r="R203">
        <f>IF(R84="","",SUM(R$6:R84))</f>
        <v>30313</v>
      </c>
      <c r="S203">
        <f>IF(S84="","",SUM(S$6:S84))</f>
        <v>57324</v>
      </c>
      <c r="T203">
        <f>IF(T84="","",SUM(T$6:T84))</f>
        <v>46872</v>
      </c>
      <c r="U203">
        <f>IF(U84="","",SUM(U$6:U84))</f>
        <v>30562</v>
      </c>
      <c r="V203">
        <f>IF(V84="","",SUM(V$6:V84))</f>
        <v>19937</v>
      </c>
      <c r="W203">
        <f>IF(W84="","",SUM(W$6:W84))</f>
        <v>65815</v>
      </c>
      <c r="X203">
        <f>IF(X84="","",SUM(X$6:X84))</f>
        <v>42589</v>
      </c>
      <c r="Y203">
        <f>IF(Y84="","",SUM(Y$6:Y84))</f>
        <v>64848</v>
      </c>
      <c r="Z203">
        <f>IF(Z84="","",SUM(Z$6:Z84))</f>
        <v>32588</v>
      </c>
      <c r="AA203">
        <f>IF(AA84="","",SUM(AA$6:AA84))</f>
        <v>96718</v>
      </c>
      <c r="AB203">
        <f>IF(AB84="","",SUM(AB$6:AB84))</f>
        <v>65445</v>
      </c>
      <c r="AC203">
        <f>IF(AC84="","",SUM(AC$6:AC84))</f>
        <v>60071</v>
      </c>
      <c r="AD203">
        <f>IF(AD84="","",SUM(AD$6:AD84))</f>
        <v>39039</v>
      </c>
      <c r="AE203">
        <f>IF(AE84="","",SUM(AE$6:AE84))</f>
        <v>61910</v>
      </c>
      <c r="AF203">
        <f>IF(AF84="","",SUM(AF$6:AF84))</f>
        <v>16317</v>
      </c>
      <c r="AG203">
        <f>IF(AG84="","",SUM(AG$6:AG84))</f>
        <v>38866</v>
      </c>
      <c r="AH203">
        <f>IF(AH84="","",SUM(AH$6:AH84))</f>
        <v>39688</v>
      </c>
      <c r="AI203">
        <f>IF(AI84="","",SUM(AI$6:AI84))</f>
        <v>70705</v>
      </c>
    </row>
    <row r="204" spans="1:35" x14ac:dyDescent="0.3">
      <c r="A204" s="3">
        <v>200</v>
      </c>
      <c r="B204">
        <f>IF(B85="","",SUM(B$6:B85))</f>
        <v>30731</v>
      </c>
      <c r="C204">
        <f>IF(C85="","",SUM(C$6:C85))</f>
        <v>63885</v>
      </c>
      <c r="D204">
        <f>IF(D85="","",SUM(D$6:D85))</f>
        <v>47666</v>
      </c>
      <c r="E204">
        <f>IF(E85="","",SUM(E$6:E85))</f>
        <v>63890</v>
      </c>
      <c r="F204">
        <f>IF(F85="","",SUM(F$6:F85))</f>
        <v>53581</v>
      </c>
      <c r="G204">
        <f>IF(G85="","",SUM(G$6:G85))</f>
        <v>42146</v>
      </c>
      <c r="H204">
        <f>IF(H85="","",SUM(H$6:H85))</f>
        <v>48034</v>
      </c>
      <c r="I204">
        <f>IF(I85="","",SUM(I$6:I85))</f>
        <v>30305</v>
      </c>
      <c r="J204">
        <f>IF(J85="","",SUM(J$6:J85))</f>
        <v>45185</v>
      </c>
      <c r="K204">
        <f>IF(K85="","",SUM(K$6:K85))</f>
        <v>29884</v>
      </c>
      <c r="L204">
        <f>IF(L85="","",SUM(L$6:L85))</f>
        <v>40219</v>
      </c>
      <c r="M204">
        <f>IF(M85="","",SUM(M$6:M85))</f>
        <v>40872</v>
      </c>
      <c r="N204">
        <f>IF(N85="","",SUM(N$6:N85))</f>
        <v>29883</v>
      </c>
      <c r="O204">
        <f>IF(O85="","",SUM(O$6:O85))</f>
        <v>42984</v>
      </c>
      <c r="P204">
        <f>IF(P85="","",SUM(P$6:P85))</f>
        <v>61186</v>
      </c>
      <c r="Q204">
        <f>IF(Q85="","",SUM(Q$6:Q85))</f>
        <v>58608</v>
      </c>
      <c r="R204">
        <f>IF(R85="","",SUM(R$6:R85))</f>
        <v>31486</v>
      </c>
      <c r="S204">
        <f>IF(S85="","",SUM(S$6:S85))</f>
        <v>59873</v>
      </c>
      <c r="T204">
        <f>IF(T85="","",SUM(T$6:T85))</f>
        <v>49071</v>
      </c>
      <c r="U204">
        <f>IF(U85="","",SUM(U$6:U85))</f>
        <v>31703</v>
      </c>
      <c r="V204">
        <f>IF(V85="","",SUM(V$6:V85))</f>
        <v>21392</v>
      </c>
      <c r="W204">
        <f>IF(W85="","",SUM(W$6:W85))</f>
        <v>67314</v>
      </c>
      <c r="X204">
        <f>IF(X85="","",SUM(X$6:X85))</f>
        <v>43054</v>
      </c>
      <c r="Y204">
        <f>IF(Y85="","",SUM(Y$6:Y85))</f>
        <v>70674</v>
      </c>
      <c r="Z204">
        <f>IF(Z85="","",SUM(Z$6:Z85))</f>
        <v>33563</v>
      </c>
      <c r="AA204">
        <f>IF(AA85="","",SUM(AA$6:AA85))</f>
        <v>97872</v>
      </c>
      <c r="AB204">
        <f>IF(AB85="","",SUM(AB$6:AB85))</f>
        <v>67756</v>
      </c>
      <c r="AC204">
        <f>IF(AC85="","",SUM(AC$6:AC85))</f>
        <v>62593</v>
      </c>
      <c r="AD204">
        <f>IF(AD85="","",SUM(AD$6:AD85))</f>
        <v>41258</v>
      </c>
      <c r="AE204">
        <f>IF(AE85="","",SUM(AE$6:AE85))</f>
        <v>63739</v>
      </c>
      <c r="AF204">
        <f>IF(AF85="","",SUM(AF$6:AF85))</f>
        <v>16794</v>
      </c>
      <c r="AG204">
        <f>IF(AG85="","",SUM(AG$6:AG85))</f>
        <v>41369</v>
      </c>
      <c r="AH204">
        <f>IF(AH85="","",SUM(AH$6:AH85))</f>
        <v>43245</v>
      </c>
      <c r="AI204">
        <f>IF(AI85="","",SUM(AI$6:AI85))</f>
        <v>75916</v>
      </c>
    </row>
    <row r="205" spans="1:35" x14ac:dyDescent="0.3">
      <c r="A205" s="3">
        <v>201</v>
      </c>
      <c r="B205">
        <f>IF(B86="","",SUM(B$6:B86))</f>
        <v>32445</v>
      </c>
      <c r="C205">
        <f>IF(C86="","",SUM(C$6:C86))</f>
        <v>64902</v>
      </c>
      <c r="D205">
        <f>IF(D86="","",SUM(D$6:D86))</f>
        <v>51179</v>
      </c>
      <c r="E205">
        <f>IF(E86="","",SUM(E$6:E86))</f>
        <v>64801</v>
      </c>
      <c r="F205">
        <f>IF(F86="","",SUM(F$6:F86))</f>
        <v>54458</v>
      </c>
      <c r="G205">
        <f>IF(G86="","",SUM(G$6:G86))</f>
        <v>43112</v>
      </c>
      <c r="H205">
        <f>IF(H86="","",SUM(H$6:H86))</f>
        <v>51208</v>
      </c>
      <c r="I205">
        <f>IF(I86="","",SUM(I$6:I86))</f>
        <v>31955</v>
      </c>
      <c r="J205">
        <f>IF(J86="","",SUM(J$6:J86))</f>
        <v>45628</v>
      </c>
      <c r="K205">
        <f>IF(K86="","",SUM(K$6:K86))</f>
        <v>30522</v>
      </c>
      <c r="L205">
        <f>IF(L86="","",SUM(L$6:L86))</f>
        <v>40527</v>
      </c>
      <c r="M205">
        <f>IF(M86="","",SUM(M$6:M86))</f>
        <v>44759</v>
      </c>
      <c r="N205">
        <f>IF(N86="","",SUM(N$6:N86))</f>
        <v>30143</v>
      </c>
      <c r="O205">
        <f>IF(O86="","",SUM(O$6:O86))</f>
        <v>45349</v>
      </c>
      <c r="P205">
        <f>IF(P86="","",SUM(P$6:P86))</f>
        <v>61795</v>
      </c>
      <c r="Q205">
        <f>IF(Q86="","",SUM(Q$6:Q86))</f>
        <v>60100</v>
      </c>
      <c r="R205">
        <f>IF(R86="","",SUM(R$6:R86))</f>
        <v>31527</v>
      </c>
      <c r="S205">
        <f>IF(S86="","",SUM(S$6:S86))</f>
        <v>60500</v>
      </c>
      <c r="T205">
        <f>IF(T86="","",SUM(T$6:T86))</f>
        <v>49273</v>
      </c>
      <c r="U205">
        <f>IF(U86="","",SUM(U$6:U86))</f>
        <v>32146</v>
      </c>
      <c r="V205">
        <f>IF(V86="","",SUM(V$6:V86))</f>
        <v>22002</v>
      </c>
      <c r="W205">
        <f>IF(W86="","",SUM(W$6:W86))</f>
        <v>69127</v>
      </c>
      <c r="X205">
        <f>IF(X86="","",SUM(X$6:X86))</f>
        <v>43058</v>
      </c>
      <c r="Y205">
        <f>IF(Y86="","",SUM(Y$6:Y86))</f>
        <v>72812</v>
      </c>
      <c r="Z205">
        <f>IF(Z86="","",SUM(Z$6:Z86))</f>
        <v>36469</v>
      </c>
      <c r="AA205">
        <f>IF(AA86="","",SUM(AA$6:AA86))</f>
        <v>99957</v>
      </c>
      <c r="AB205">
        <f>IF(AB86="","",SUM(AB$6:AB86))</f>
        <v>74185</v>
      </c>
      <c r="AC205">
        <f>IF(AC86="","",SUM(AC$6:AC86))</f>
        <v>65832</v>
      </c>
      <c r="AD205">
        <f>IF(AD86="","",SUM(AD$6:AD86))</f>
        <v>42732</v>
      </c>
      <c r="AE205">
        <f>IF(AE86="","",SUM(AE$6:AE86))</f>
        <v>64473</v>
      </c>
      <c r="AF205">
        <f>IF(AF86="","",SUM(AF$6:AF86))</f>
        <v>17146</v>
      </c>
      <c r="AG205">
        <f>IF(AG86="","",SUM(AG$6:AG86))</f>
        <v>41390</v>
      </c>
      <c r="AH205">
        <f>IF(AH86="","",SUM(AH$6:AH86))</f>
        <v>43422</v>
      </c>
      <c r="AI205">
        <f>IF(AI86="","",SUM(AI$6:AI86))</f>
        <v>79949</v>
      </c>
    </row>
    <row r="206" spans="1:35" x14ac:dyDescent="0.3">
      <c r="A206" s="3">
        <v>202</v>
      </c>
      <c r="B206">
        <f>IF(B87="","",SUM(B$6:B87))</f>
        <v>33162</v>
      </c>
      <c r="C206">
        <f>IF(C87="","",SUM(C$6:C87))</f>
        <v>65799</v>
      </c>
      <c r="D206">
        <f>IF(D87="","",SUM(D$6:D87))</f>
        <v>53785</v>
      </c>
      <c r="E206">
        <f>IF(E87="","",SUM(E$6:E87))</f>
        <v>67388</v>
      </c>
      <c r="F206">
        <f>IF(F87="","",SUM(F$6:F87))</f>
        <v>59271</v>
      </c>
      <c r="G206">
        <f>IF(G87="","",SUM(G$6:G87))</f>
        <v>44288</v>
      </c>
      <c r="H206">
        <f>IF(H87="","",SUM(H$6:H87))</f>
        <v>51695</v>
      </c>
      <c r="I206">
        <f>IF(I87="","",SUM(I$6:I87))</f>
        <v>32013</v>
      </c>
      <c r="J206">
        <f>IF(J87="","",SUM(J$6:J87))</f>
        <v>45972</v>
      </c>
      <c r="K206">
        <f>IF(K87="","",SUM(K$6:K87))</f>
        <v>31647</v>
      </c>
      <c r="L206">
        <f>IF(L87="","",SUM(L$6:L87))</f>
        <v>40596</v>
      </c>
      <c r="M206">
        <f>IF(M87="","",SUM(M$6:M87))</f>
        <v>45070</v>
      </c>
      <c r="N206">
        <f>IF(N87="","",SUM(N$6:N87))</f>
        <v>30297</v>
      </c>
      <c r="O206">
        <f>IF(O87="","",SUM(O$6:O87))</f>
        <v>46960</v>
      </c>
      <c r="P206">
        <f>IF(P87="","",SUM(P$6:P87))</f>
        <v>61967</v>
      </c>
      <c r="Q206">
        <f>IF(Q87="","",SUM(Q$6:Q87))</f>
        <v>61604</v>
      </c>
      <c r="R206">
        <f>IF(R87="","",SUM(R$6:R87))</f>
        <v>32536</v>
      </c>
      <c r="S206">
        <f>IF(S87="","",SUM(S$6:S87))</f>
        <v>61200</v>
      </c>
      <c r="T206">
        <f>IF(T87="","",SUM(T$6:T87))</f>
        <v>51769</v>
      </c>
      <c r="U206">
        <f>IF(U87="","",SUM(U$6:U87))</f>
        <v>34001</v>
      </c>
      <c r="V206">
        <f>IF(V87="","",SUM(V$6:V87))</f>
        <v>22412</v>
      </c>
      <c r="W206">
        <f>IF(W87="","",SUM(W$6:W87))</f>
        <v>69871</v>
      </c>
      <c r="X206">
        <f>IF(X87="","",SUM(X$6:X87))</f>
        <v>44662</v>
      </c>
      <c r="Y206">
        <f>IF(Y87="","",SUM(Y$6:Y87))</f>
        <v>74903</v>
      </c>
      <c r="Z206">
        <f>IF(Z87="","",SUM(Z$6:Z87))</f>
        <v>37653</v>
      </c>
      <c r="AA206">
        <f>IF(AA87="","",SUM(AA$6:AA87))</f>
        <v>102281</v>
      </c>
      <c r="AB206">
        <f>IF(AB87="","",SUM(AB$6:AB87))</f>
        <v>77268</v>
      </c>
      <c r="AC206">
        <f>IF(AC87="","",SUM(AC$6:AC87))</f>
        <v>68997</v>
      </c>
      <c r="AD206">
        <f>IF(AD87="","",SUM(AD$6:AD87))</f>
        <v>43304</v>
      </c>
      <c r="AE206">
        <f>IF(AE87="","",SUM(AE$6:AE87))</f>
        <v>65889</v>
      </c>
      <c r="AF206">
        <f>IF(AF87="","",SUM(AF$6:AF87))</f>
        <v>19353</v>
      </c>
      <c r="AG206">
        <f>IF(AG87="","",SUM(AG$6:AG87))</f>
        <v>42750</v>
      </c>
      <c r="AH206">
        <f>IF(AH87="","",SUM(AH$6:AH87))</f>
        <v>45047</v>
      </c>
      <c r="AI206">
        <f>IF(AI87="","",SUM(AI$6:AI87))</f>
        <v>81355</v>
      </c>
    </row>
    <row r="207" spans="1:35" x14ac:dyDescent="0.3">
      <c r="A207" s="3">
        <v>203</v>
      </c>
      <c r="B207">
        <f>IF(B88="","",SUM(B$6:B88))</f>
        <v>33226</v>
      </c>
      <c r="C207">
        <f>IF(C88="","",SUM(C$6:C88))</f>
        <v>65909</v>
      </c>
      <c r="D207">
        <f>IF(D88="","",SUM(D$6:D88))</f>
        <v>57498</v>
      </c>
      <c r="E207">
        <f>IF(E88="","",SUM(E$6:E88))</f>
        <v>68029</v>
      </c>
      <c r="F207">
        <f>IF(F88="","",SUM(F$6:F88))</f>
        <v>62941</v>
      </c>
      <c r="G207">
        <f>IF(G88="","",SUM(G$6:G88))</f>
        <v>45657</v>
      </c>
      <c r="H207">
        <f>IF(H88="","",SUM(H$6:H88))</f>
        <v>52770</v>
      </c>
      <c r="I207">
        <f>IF(I88="","",SUM(I$6:I88))</f>
        <v>32882</v>
      </c>
      <c r="J207">
        <f>IF(J88="","",SUM(J$6:J88))</f>
        <v>48374</v>
      </c>
      <c r="K207">
        <f>IF(K88="","",SUM(K$6:K88))</f>
        <v>32213</v>
      </c>
      <c r="L207">
        <f>IF(L88="","",SUM(L$6:L88))</f>
        <v>42276</v>
      </c>
      <c r="M207">
        <f>IF(M88="","",SUM(M$6:M88))</f>
        <v>46839</v>
      </c>
      <c r="N207">
        <f>IF(N88="","",SUM(N$6:N88))</f>
        <v>30532</v>
      </c>
      <c r="O207">
        <f>IF(O88="","",SUM(O$6:O88))</f>
        <v>49077</v>
      </c>
      <c r="P207">
        <f>IF(P88="","",SUM(P$6:P88))</f>
        <v>61986</v>
      </c>
      <c r="Q207">
        <f>IF(Q88="","",SUM(Q$6:Q88))</f>
        <v>64073</v>
      </c>
      <c r="R207">
        <f>IF(R88="","",SUM(R$6:R88))</f>
        <v>34454</v>
      </c>
      <c r="S207">
        <f>IF(S88="","",SUM(S$6:S88))</f>
        <v>62008</v>
      </c>
      <c r="T207">
        <f>IF(T88="","",SUM(T$6:T88))</f>
        <v>53802</v>
      </c>
      <c r="U207">
        <f>IF(U88="","",SUM(U$6:U88))</f>
        <v>35207</v>
      </c>
      <c r="V207">
        <f>IF(V88="","",SUM(V$6:V88))</f>
        <v>22414</v>
      </c>
      <c r="W207">
        <f>IF(W88="","",SUM(W$6:W88))</f>
        <v>71752</v>
      </c>
      <c r="X207">
        <f>IF(X88="","",SUM(X$6:X88))</f>
        <v>45821</v>
      </c>
      <c r="Y207">
        <f>IF(Y88="","",SUM(Y$6:Y88))</f>
        <v>76250</v>
      </c>
      <c r="Z207">
        <f>IF(Z88="","",SUM(Z$6:Z88))</f>
        <v>38161</v>
      </c>
      <c r="AA207">
        <f>IF(AA88="","",SUM(AA$6:AA88))</f>
        <v>103935</v>
      </c>
      <c r="AB207">
        <f>IF(AB88="","",SUM(AB$6:AB88))</f>
        <v>78855</v>
      </c>
      <c r="AC207">
        <f>IF(AC88="","",SUM(AC$6:AC88))</f>
        <v>69680</v>
      </c>
      <c r="AD207">
        <f>IF(AD88="","",SUM(AD$6:AD88))</f>
        <v>43438</v>
      </c>
      <c r="AE207">
        <f>IF(AE88="","",SUM(AE$6:AE88))</f>
        <v>66188</v>
      </c>
      <c r="AF207">
        <f>IF(AF88="","",SUM(AF$6:AF88))</f>
        <v>19421</v>
      </c>
      <c r="AG207">
        <f>IF(AG88="","",SUM(AG$6:AG88))</f>
        <v>47729</v>
      </c>
      <c r="AH207">
        <f>IF(AH88="","",SUM(AH$6:AH88))</f>
        <v>45981</v>
      </c>
      <c r="AI207">
        <f>IF(AI88="","",SUM(AI$6:AI88))</f>
        <v>83885</v>
      </c>
    </row>
    <row r="208" spans="1:35" x14ac:dyDescent="0.3">
      <c r="A208" s="3">
        <v>204</v>
      </c>
      <c r="B208">
        <f>IF(B89="","",SUM(B$6:B89))</f>
        <v>33226</v>
      </c>
      <c r="C208">
        <f>IF(C89="","",SUM(C$6:C89))</f>
        <v>66860</v>
      </c>
      <c r="D208">
        <f>IF(D89="","",SUM(D$6:D89))</f>
        <v>58117</v>
      </c>
      <c r="E208">
        <f>IF(E89="","",SUM(E$6:E89))</f>
        <v>68258</v>
      </c>
      <c r="F208">
        <f>IF(F89="","",SUM(F$6:F89))</f>
        <v>63499</v>
      </c>
      <c r="G208">
        <f>IF(G89="","",SUM(G$6:G89))</f>
        <v>45921</v>
      </c>
      <c r="H208">
        <f>IF(H89="","",SUM(H$6:H89))</f>
        <v>54227</v>
      </c>
      <c r="I208">
        <f>IF(I89="","",SUM(I$6:I89))</f>
        <v>33107</v>
      </c>
      <c r="J208">
        <f>IF(J89="","",SUM(J$6:J89))</f>
        <v>49596</v>
      </c>
      <c r="K208">
        <f>IF(K89="","",SUM(K$6:K89))</f>
        <v>32978</v>
      </c>
      <c r="L208">
        <f>IF(L89="","",SUM(L$6:L89))</f>
        <v>42484</v>
      </c>
      <c r="M208">
        <f>IF(M89="","",SUM(M$6:M89))</f>
        <v>49332</v>
      </c>
      <c r="N208">
        <f>IF(N89="","",SUM(N$6:N89))</f>
        <v>31867</v>
      </c>
      <c r="O208">
        <f>IF(O89="","",SUM(O$6:O89))</f>
        <v>49680</v>
      </c>
      <c r="P208">
        <f>IF(P89="","",SUM(P$6:P89))</f>
        <v>62807</v>
      </c>
      <c r="Q208">
        <f>IF(Q89="","",SUM(Q$6:Q89))</f>
        <v>67336</v>
      </c>
      <c r="R208">
        <f>IF(R89="","",SUM(R$6:R89))</f>
        <v>34728</v>
      </c>
      <c r="S208">
        <f>IF(S89="","",SUM(S$6:S89))</f>
        <v>62938</v>
      </c>
      <c r="T208">
        <f>IF(T89="","",SUM(T$6:T89))</f>
        <v>57078</v>
      </c>
      <c r="U208">
        <f>IF(U89="","",SUM(U$6:U89))</f>
        <v>39886</v>
      </c>
      <c r="V208">
        <f>IF(V89="","",SUM(V$6:V89))</f>
        <v>22494</v>
      </c>
      <c r="W208">
        <f>IF(W89="","",SUM(W$6:W89))</f>
        <v>73468</v>
      </c>
      <c r="X208">
        <f>IF(X89="","",SUM(X$6:X89))</f>
        <v>46192</v>
      </c>
      <c r="Y208">
        <f>IF(Y89="","",SUM(Y$6:Y89))</f>
        <v>79634</v>
      </c>
      <c r="Z208">
        <f>IF(Z89="","",SUM(Z$6:Z89))</f>
        <v>38713</v>
      </c>
      <c r="AA208">
        <f>IF(AA89="","",SUM(AA$6:AA89))</f>
        <v>105983</v>
      </c>
      <c r="AB208">
        <f>IF(AB89="","",SUM(AB$6:AB89))</f>
        <v>79959</v>
      </c>
      <c r="AC208">
        <f>IF(AC89="","",SUM(AC$6:AC89))</f>
        <v>70387</v>
      </c>
      <c r="AD208">
        <f>IF(AD89="","",SUM(AD$6:AD89))</f>
        <v>44498</v>
      </c>
      <c r="AE208">
        <f>IF(AE89="","",SUM(AE$6:AE89))</f>
        <v>66489</v>
      </c>
      <c r="AF208">
        <f>IF(AF89="","",SUM(AF$6:AF89))</f>
        <v>19646</v>
      </c>
      <c r="AG208">
        <f>IF(AG89="","",SUM(AG$6:AG89))</f>
        <v>50201</v>
      </c>
      <c r="AH208">
        <f>IF(AH89="","",SUM(AH$6:AH89))</f>
        <v>46948</v>
      </c>
      <c r="AI208">
        <f>IF(AI89="","",SUM(AI$6:AI89))</f>
        <v>86474</v>
      </c>
    </row>
    <row r="209" spans="1:35" x14ac:dyDescent="0.3">
      <c r="A209" s="3">
        <v>205</v>
      </c>
      <c r="B209">
        <f>IF(B90="","",SUM(B$6:B90))</f>
        <v>35501</v>
      </c>
      <c r="C209">
        <f>IF(C90="","",SUM(C$6:C90))</f>
        <v>66930</v>
      </c>
      <c r="D209">
        <f>IF(D90="","",SUM(D$6:D90))</f>
        <v>59483</v>
      </c>
      <c r="E209">
        <f>IF(E90="","",SUM(E$6:E90))</f>
        <v>68758</v>
      </c>
      <c r="F209">
        <f>IF(F90="","",SUM(F$6:F90))</f>
        <v>67096</v>
      </c>
      <c r="G209">
        <f>IF(G90="","",SUM(G$6:G90))</f>
        <v>47283</v>
      </c>
      <c r="H209">
        <f>IF(H90="","",SUM(H$6:H90))</f>
        <v>56671</v>
      </c>
      <c r="I209">
        <f>IF(I90="","",SUM(I$6:I90))</f>
        <v>33539</v>
      </c>
      <c r="J209">
        <f>IF(J90="","",SUM(J$6:J90))</f>
        <v>49993</v>
      </c>
      <c r="K209">
        <f>IF(K90="","",SUM(K$6:K90))</f>
        <v>33615</v>
      </c>
      <c r="L209">
        <f>IF(L90="","",SUM(L$6:L90))</f>
        <v>42708</v>
      </c>
      <c r="M209">
        <f>IF(M90="","",SUM(M$6:M90))</f>
        <v>49546</v>
      </c>
      <c r="N209">
        <f>IF(N90="","",SUM(N$6:N90))</f>
        <v>32241</v>
      </c>
      <c r="O209">
        <f>IF(O90="","",SUM(O$6:O90))</f>
        <v>50011</v>
      </c>
      <c r="P209">
        <f>IF(P90="","",SUM(P$6:P90))</f>
        <v>63310</v>
      </c>
      <c r="Q209">
        <f>IF(Q90="","",SUM(Q$6:Q90))</f>
        <v>69719</v>
      </c>
      <c r="R209">
        <f>IF(R90="","",SUM(R$6:R90))</f>
        <v>35276</v>
      </c>
      <c r="S209">
        <f>IF(S90="","",SUM(S$6:S90))</f>
        <v>63664</v>
      </c>
      <c r="T209">
        <f>IF(T90="","",SUM(T$6:T90))</f>
        <v>57505</v>
      </c>
      <c r="U209">
        <f>IF(U90="","",SUM(U$6:U90))</f>
        <v>40556</v>
      </c>
      <c r="V209">
        <f>IF(V90="","",SUM(V$6:V90))</f>
        <v>22520</v>
      </c>
      <c r="W209">
        <f>IF(W90="","",SUM(W$6:W90))</f>
        <v>74796</v>
      </c>
      <c r="X209">
        <f>IF(X90="","",SUM(X$6:X90))</f>
        <v>46913</v>
      </c>
      <c r="Y209">
        <f>IF(Y90="","",SUM(Y$6:Y90))</f>
        <v>80255</v>
      </c>
      <c r="Z209">
        <f>IF(Z90="","",SUM(Z$6:Z90))</f>
        <v>38912</v>
      </c>
      <c r="AA209">
        <f>IF(AA90="","",SUM(AA$6:AA90))</f>
        <v>107763</v>
      </c>
      <c r="AB209">
        <f>IF(AB90="","",SUM(AB$6:AB90))</f>
        <v>82175</v>
      </c>
      <c r="AC209">
        <f>IF(AC90="","",SUM(AC$6:AC90))</f>
        <v>72537</v>
      </c>
      <c r="AD209">
        <f>IF(AD90="","",SUM(AD$6:AD90))</f>
        <v>47231</v>
      </c>
      <c r="AE209">
        <f>IF(AE90="","",SUM(AE$6:AE90))</f>
        <v>66665</v>
      </c>
      <c r="AF209">
        <f>IF(AF90="","",SUM(AF$6:AF90))</f>
        <v>19955</v>
      </c>
      <c r="AG209">
        <f>IF(AG90="","",SUM(AG$6:AG90))</f>
        <v>50956</v>
      </c>
      <c r="AH209">
        <f>IF(AH90="","",SUM(AH$6:AH90))</f>
        <v>47519</v>
      </c>
      <c r="AI209">
        <f>IF(AI90="","",SUM(AI$6:AI90))</f>
        <v>88013</v>
      </c>
    </row>
    <row r="210" spans="1:35" x14ac:dyDescent="0.3">
      <c r="A210" s="3">
        <v>206</v>
      </c>
      <c r="B210">
        <f>IF(B91="","",SUM(B$6:B91))</f>
        <v>35505</v>
      </c>
      <c r="C210">
        <f>IF(C91="","",SUM(C$6:C91))</f>
        <v>69688</v>
      </c>
      <c r="D210">
        <f>IF(D91="","",SUM(D$6:D91))</f>
        <v>59824</v>
      </c>
      <c r="E210">
        <f>IF(E91="","",SUM(E$6:E91))</f>
        <v>68859</v>
      </c>
      <c r="F210">
        <f>IF(F91="","",SUM(F$6:F91))</f>
        <v>67850</v>
      </c>
      <c r="G210">
        <f>IF(G91="","",SUM(G$6:G91))</f>
        <v>48184</v>
      </c>
      <c r="H210">
        <f>IF(H91="","",SUM(H$6:H91))</f>
        <v>58519</v>
      </c>
      <c r="I210">
        <f>IF(I91="","",SUM(I$6:I91))</f>
        <v>35477</v>
      </c>
      <c r="J210">
        <f>IF(J91="","",SUM(J$6:J91))</f>
        <v>50811</v>
      </c>
      <c r="K210">
        <f>IF(K91="","",SUM(K$6:K91))</f>
        <v>34314</v>
      </c>
      <c r="L210">
        <f>IF(L91="","",SUM(L$6:L91))</f>
        <v>42820</v>
      </c>
      <c r="M210">
        <f>IF(M91="","",SUM(M$6:M91))</f>
        <v>49613</v>
      </c>
      <c r="N210">
        <f>IF(N91="","",SUM(N$6:N91))</f>
        <v>32260</v>
      </c>
      <c r="O210">
        <f>IF(O91="","",SUM(O$6:O91))</f>
        <v>51421</v>
      </c>
      <c r="P210">
        <f>IF(P91="","",SUM(P$6:P91))</f>
        <v>63325</v>
      </c>
      <c r="Q210">
        <f>IF(Q91="","",SUM(Q$6:Q91))</f>
        <v>71840</v>
      </c>
      <c r="R210">
        <f>IF(R91="","",SUM(R$6:R91))</f>
        <v>37626</v>
      </c>
      <c r="S210">
        <f>IF(S91="","",SUM(S$6:S91))</f>
        <v>63852</v>
      </c>
      <c r="T210">
        <f>IF(T91="","",SUM(T$6:T91))</f>
        <v>61790</v>
      </c>
      <c r="U210">
        <f>IF(U91="","",SUM(U$6:U91))</f>
        <v>41926</v>
      </c>
      <c r="V210" t="str">
        <f>IF(V91="","",SUM(V$6:V91))</f>
        <v/>
      </c>
      <c r="W210">
        <f>IF(W91="","",SUM(W$6:W91))</f>
        <v>76008</v>
      </c>
      <c r="X210">
        <f>IF(X91="","",SUM(X$6:X91))</f>
        <v>50382</v>
      </c>
      <c r="Y210">
        <f>IF(Y91="","",SUM(Y$6:Y91))</f>
        <v>81044</v>
      </c>
      <c r="Z210">
        <f>IF(Z91="","",SUM(Z$6:Z91))</f>
        <v>39569</v>
      </c>
      <c r="AA210">
        <f>IF(AA91="","",SUM(AA$6:AA91))</f>
        <v>108463</v>
      </c>
      <c r="AB210">
        <f>IF(AB91="","",SUM(AB$6:AB91))</f>
        <v>84385</v>
      </c>
      <c r="AC210">
        <f>IF(AC91="","",SUM(AC$6:AC91))</f>
        <v>74567</v>
      </c>
      <c r="AD210">
        <f>IF(AD91="","",SUM(AD$6:AD91))</f>
        <v>47627</v>
      </c>
      <c r="AE210">
        <f>IF(AE91="","",SUM(AE$6:AE91))</f>
        <v>68129</v>
      </c>
      <c r="AF210">
        <f>IF(AF91="","",SUM(AF$6:AF91))</f>
        <v>20688</v>
      </c>
      <c r="AG210">
        <f>IF(AG91="","",SUM(AG$6:AG91))</f>
        <v>51943</v>
      </c>
      <c r="AH210">
        <f>IF(AH91="","",SUM(AH$6:AH91))</f>
        <v>48949</v>
      </c>
      <c r="AI210">
        <f>IF(AI91="","",SUM(AI$6:AI91))</f>
        <v>90457</v>
      </c>
    </row>
    <row r="211" spans="1:35" x14ac:dyDescent="0.3">
      <c r="A211" s="3">
        <v>207</v>
      </c>
      <c r="B211">
        <f>IF(B92="","",SUM(B$6:B92))</f>
        <v>38883</v>
      </c>
      <c r="C211">
        <f>IF(C92="","",SUM(C$6:C92))</f>
        <v>71337</v>
      </c>
      <c r="D211">
        <f>IF(D92="","",SUM(D$6:D92))</f>
        <v>60104</v>
      </c>
      <c r="E211">
        <f>IF(E92="","",SUM(E$6:E92))</f>
        <v>69437</v>
      </c>
      <c r="F211">
        <f>IF(F92="","",SUM(F$6:F92))</f>
        <v>68259</v>
      </c>
      <c r="G211">
        <f>IF(G92="","",SUM(G$6:G92))</f>
        <v>49558</v>
      </c>
      <c r="H211">
        <f>IF(H92="","",SUM(H$6:H92))</f>
        <v>60832</v>
      </c>
      <c r="I211">
        <f>IF(I92="","",SUM(I$6:I92))</f>
        <v>35599</v>
      </c>
      <c r="J211">
        <f>IF(J92="","",SUM(J$6:J92))</f>
        <v>51115</v>
      </c>
      <c r="K211">
        <f>IF(K92="","",SUM(K$6:K92))</f>
        <v>35161</v>
      </c>
      <c r="L211">
        <f>IF(L92="","",SUM(L$6:L92))</f>
        <v>43040</v>
      </c>
      <c r="M211">
        <f>IF(M92="","",SUM(M$6:M92))</f>
        <v>50397</v>
      </c>
      <c r="N211">
        <f>IF(N92="","",SUM(N$6:N92))</f>
        <v>32694</v>
      </c>
      <c r="O211">
        <f>IF(O92="","",SUM(O$6:O92))</f>
        <v>52951</v>
      </c>
      <c r="P211">
        <f>IF(P92="","",SUM(P$6:P92))</f>
        <v>63528</v>
      </c>
      <c r="Q211">
        <f>IF(Q92="","",SUM(Q$6:Q92))</f>
        <v>74126</v>
      </c>
      <c r="R211">
        <f>IF(R92="","",SUM(R$6:R92))</f>
        <v>38195</v>
      </c>
      <c r="S211">
        <f>IF(S92="","",SUM(S$6:S92))</f>
        <v>64068</v>
      </c>
      <c r="T211">
        <f>IF(T92="","",SUM(T$6:T92))</f>
        <v>64448</v>
      </c>
      <c r="U211">
        <f>IF(U92="","",SUM(U$6:U92))</f>
        <v>42356</v>
      </c>
      <c r="V211" t="str">
        <f>IF(V92="","",SUM(V$6:V92))</f>
        <v/>
      </c>
      <c r="W211">
        <f>IF(W92="","",SUM(W$6:W92))</f>
        <v>78741</v>
      </c>
      <c r="X211">
        <f>IF(X92="","",SUM(X$6:X92))</f>
        <v>51530</v>
      </c>
      <c r="Y211">
        <f>IF(Y92="","",SUM(Y$6:Y92))</f>
        <v>81832</v>
      </c>
      <c r="Z211">
        <f>IF(Z92="","",SUM(Z$6:Z92))</f>
        <v>42643</v>
      </c>
      <c r="AA211">
        <f>IF(AA92="","",SUM(AA$6:AA92))</f>
        <v>111573</v>
      </c>
      <c r="AB211">
        <f>IF(AB92="","",SUM(AB$6:AB92))</f>
        <v>87912</v>
      </c>
      <c r="AC211">
        <f>IF(AC92="","",SUM(AC$6:AC92))</f>
        <v>75859</v>
      </c>
      <c r="AD211">
        <f>IF(AD92="","",SUM(AD$6:AD92))</f>
        <v>48088</v>
      </c>
      <c r="AE211">
        <f>IF(AE92="","",SUM(AE$6:AE92))</f>
        <v>69198</v>
      </c>
      <c r="AF211">
        <f>IF(AF92="","",SUM(AF$6:AF92))</f>
        <v>21332</v>
      </c>
      <c r="AG211">
        <f>IF(AG92="","",SUM(AG$6:AG92))</f>
        <v>53531</v>
      </c>
      <c r="AH211">
        <f>IF(AH92="","",SUM(AH$6:AH92))</f>
        <v>51831</v>
      </c>
      <c r="AI211">
        <f>IF(AI92="","",SUM(AI$6:AI92))</f>
        <v>91515</v>
      </c>
    </row>
    <row r="212" spans="1:35" x14ac:dyDescent="0.3">
      <c r="A212" s="3">
        <v>208</v>
      </c>
      <c r="B212">
        <f>IF(B93="","",SUM(B$6:B93))</f>
        <v>39367</v>
      </c>
      <c r="C212">
        <f>IF(C93="","",SUM(C$6:C93))</f>
        <v>72473</v>
      </c>
      <c r="D212">
        <f>IF(D93="","",SUM(D$6:D93))</f>
        <v>61222</v>
      </c>
      <c r="E212">
        <f>IF(E93="","",SUM(E$6:E93))</f>
        <v>69737</v>
      </c>
      <c r="F212">
        <f>IF(F93="","",SUM(F$6:F93))</f>
        <v>68756</v>
      </c>
      <c r="G212">
        <f>IF(G93="","",SUM(G$6:G93))</f>
        <v>50817</v>
      </c>
      <c r="H212">
        <f>IF(H93="","",SUM(H$6:H93))</f>
        <v>63275</v>
      </c>
      <c r="I212">
        <f>IF(I93="","",SUM(I$6:I93))</f>
        <v>36153</v>
      </c>
      <c r="J212">
        <f>IF(J93="","",SUM(J$6:J93))</f>
        <v>51899</v>
      </c>
      <c r="K212">
        <f>IF(K93="","",SUM(K$6:K93))</f>
        <v>36134</v>
      </c>
      <c r="L212">
        <f>IF(L93="","",SUM(L$6:L93))</f>
        <v>43750</v>
      </c>
      <c r="M212">
        <f>IF(M93="","",SUM(M$6:M93))</f>
        <v>52374</v>
      </c>
      <c r="N212">
        <f>IF(N93="","",SUM(N$6:N93))</f>
        <v>34072</v>
      </c>
      <c r="O212">
        <f>IF(O93="","",SUM(O$6:O93))</f>
        <v>54404</v>
      </c>
      <c r="P212">
        <f>IF(P93="","",SUM(P$6:P93))</f>
        <v>63625</v>
      </c>
      <c r="Q212">
        <f>IF(Q93="","",SUM(Q$6:Q93))</f>
        <v>74856</v>
      </c>
      <c r="R212">
        <f>IF(R93="","",SUM(R$6:R93))</f>
        <v>38851</v>
      </c>
      <c r="S212">
        <f>IF(S93="","",SUM(S$6:S93))</f>
        <v>65218</v>
      </c>
      <c r="T212">
        <f>IF(T93="","",SUM(T$6:T93))</f>
        <v>64650</v>
      </c>
      <c r="U212">
        <f>IF(U93="","",SUM(U$6:U93))</f>
        <v>42491</v>
      </c>
      <c r="V212" t="str">
        <f>IF(V93="","",SUM(V$6:V93))</f>
        <v/>
      </c>
      <c r="W212">
        <f>IF(W93="","",SUM(W$6:W93))</f>
        <v>79032</v>
      </c>
      <c r="X212">
        <f>IF(X93="","",SUM(X$6:X93))</f>
        <v>51601</v>
      </c>
      <c r="Y212">
        <f>IF(Y93="","",SUM(Y$6:Y93))</f>
        <v>82441</v>
      </c>
      <c r="Z212">
        <f>IF(Z93="","",SUM(Z$6:Z93))</f>
        <v>46963</v>
      </c>
      <c r="AA212">
        <f>IF(AA93="","",SUM(AA$6:AA93))</f>
        <v>112815</v>
      </c>
      <c r="AB212">
        <f>IF(AB93="","",SUM(AB$6:AB93))</f>
        <v>92832</v>
      </c>
      <c r="AC212">
        <f>IF(AC93="","",SUM(AC$6:AC93))</f>
        <v>78474</v>
      </c>
      <c r="AD212">
        <f>IF(AD93="","",SUM(AD$6:AD93))</f>
        <v>48318</v>
      </c>
      <c r="AE212">
        <f>IF(AE93="","",SUM(AE$6:AE93))</f>
        <v>70642</v>
      </c>
      <c r="AF212">
        <f>IF(AF93="","",SUM(AF$6:AF93))</f>
        <v>21901</v>
      </c>
      <c r="AG212">
        <f>IF(AG93="","",SUM(AG$6:AG93))</f>
        <v>54621</v>
      </c>
      <c r="AH212">
        <f>IF(AH93="","",SUM(AH$6:AH93))</f>
        <v>53743</v>
      </c>
      <c r="AI212">
        <f>IF(AI93="","",SUM(AI$6:AI93))</f>
        <v>94097</v>
      </c>
    </row>
    <row r="213" spans="1:35" x14ac:dyDescent="0.3">
      <c r="A213" s="3">
        <v>209</v>
      </c>
      <c r="B213">
        <f>IF(B94="","",SUM(B$6:B94))</f>
        <v>39586</v>
      </c>
      <c r="C213">
        <f>IF(C94="","",SUM(C$6:C94))</f>
        <v>74740</v>
      </c>
      <c r="D213">
        <f>IF(D94="","",SUM(D$6:D94))</f>
        <v>61375</v>
      </c>
      <c r="E213" t="str">
        <f>IF(E94="","",SUM(E$6:E94))</f>
        <v/>
      </c>
      <c r="F213">
        <f>IF(F94="","",SUM(F$6:F94))</f>
        <v>69384</v>
      </c>
      <c r="G213">
        <f>IF(G94="","",SUM(G$6:G94))</f>
        <v>53280</v>
      </c>
      <c r="H213">
        <f>IF(H94="","",SUM(H$6:H94))</f>
        <v>66059</v>
      </c>
      <c r="I213">
        <f>IF(I94="","",SUM(I$6:I94))</f>
        <v>36927</v>
      </c>
      <c r="J213">
        <f>IF(J94="","",SUM(J$6:J94))</f>
        <v>52528</v>
      </c>
      <c r="K213">
        <f>IF(K94="","",SUM(K$6:K94))</f>
        <v>37311</v>
      </c>
      <c r="L213">
        <f>IF(L94="","",SUM(L$6:L94))</f>
        <v>44834</v>
      </c>
      <c r="M213">
        <f>IF(M94="","",SUM(M$6:M94))</f>
        <v>53888</v>
      </c>
      <c r="N213">
        <f>IF(N94="","",SUM(N$6:N94))</f>
        <v>35698</v>
      </c>
      <c r="O213">
        <f>IF(O94="","",SUM(O$6:O94))</f>
        <v>54959</v>
      </c>
      <c r="P213">
        <f>IF(P94="","",SUM(P$6:P94))</f>
        <v>63694</v>
      </c>
      <c r="Q213">
        <f>IF(Q94="","",SUM(Q$6:Q94))</f>
        <v>76000</v>
      </c>
      <c r="R213">
        <f>IF(R94="","",SUM(R$6:R94))</f>
        <v>39795</v>
      </c>
      <c r="S213">
        <f>IF(S94="","",SUM(S$6:S94))</f>
        <v>65711</v>
      </c>
      <c r="T213">
        <f>IF(T94="","",SUM(T$6:T94))</f>
        <v>65569</v>
      </c>
      <c r="U213">
        <f>IF(U94="","",SUM(U$6:U94))</f>
        <v>44534</v>
      </c>
      <c r="V213" t="str">
        <f>IF(V94="","",SUM(V$6:V94))</f>
        <v/>
      </c>
      <c r="W213">
        <f>IF(W94="","",SUM(W$6:W94))</f>
        <v>79435</v>
      </c>
      <c r="X213">
        <f>IF(X94="","",SUM(X$6:X94))</f>
        <v>52089</v>
      </c>
      <c r="Y213">
        <f>IF(Y94="","",SUM(Y$6:Y94))</f>
        <v>82808</v>
      </c>
      <c r="Z213">
        <f>IF(Z94="","",SUM(Z$6:Z94))</f>
        <v>49280</v>
      </c>
      <c r="AA213">
        <f>IF(AA94="","",SUM(AA$6:AA94))</f>
        <v>115038</v>
      </c>
      <c r="AB213">
        <f>IF(AB94="","",SUM(AB$6:AB94))</f>
        <v>93179</v>
      </c>
      <c r="AC213">
        <f>IF(AC94="","",SUM(AC$6:AC94))</f>
        <v>79972</v>
      </c>
      <c r="AD213">
        <f>IF(AD94="","",SUM(AD$6:AD94))</f>
        <v>48822</v>
      </c>
      <c r="AE213">
        <f>IF(AE94="","",SUM(AE$6:AE94))</f>
        <v>72268</v>
      </c>
      <c r="AF213">
        <f>IF(AF94="","",SUM(AF$6:AF94))</f>
        <v>23528</v>
      </c>
      <c r="AG213">
        <f>IF(AG94="","",SUM(AG$6:AG94))</f>
        <v>56170</v>
      </c>
      <c r="AH213">
        <f>IF(AH94="","",SUM(AH$6:AH94))</f>
        <v>55445</v>
      </c>
      <c r="AI213">
        <f>IF(AI94="","",SUM(AI$6:AI94))</f>
        <v>96137</v>
      </c>
    </row>
    <row r="214" spans="1:35" x14ac:dyDescent="0.3">
      <c r="A214" s="3">
        <v>210</v>
      </c>
      <c r="B214">
        <f>IF(B95="","",SUM(B$6:B95))</f>
        <v>40699</v>
      </c>
      <c r="C214">
        <f>IF(C95="","",SUM(C$6:C95))</f>
        <v>76394</v>
      </c>
      <c r="D214" t="str">
        <f>IF(D95="","",SUM(D$6:D95))</f>
        <v/>
      </c>
      <c r="E214" t="str">
        <f>IF(E95="","",SUM(E$6:E95))</f>
        <v/>
      </c>
      <c r="F214">
        <f>IF(F95="","",SUM(F$6:F95))</f>
        <v>69880</v>
      </c>
      <c r="G214">
        <f>IF(G95="","",SUM(G$6:G95))</f>
        <v>53824</v>
      </c>
      <c r="H214">
        <f>IF(H95="","",SUM(H$6:H95))</f>
        <v>66551</v>
      </c>
      <c r="I214">
        <f>IF(I95="","",SUM(I$6:I95))</f>
        <v>37733</v>
      </c>
      <c r="J214">
        <f>IF(J95="","",SUM(J$6:J95))</f>
        <v>53268</v>
      </c>
      <c r="K214">
        <f>IF(K95="","",SUM(K$6:K95))</f>
        <v>37950</v>
      </c>
      <c r="L214">
        <f>IF(L95="","",SUM(L$6:L95))</f>
        <v>45839</v>
      </c>
      <c r="M214">
        <f>IF(M95="","",SUM(M$6:M95))</f>
        <v>54432</v>
      </c>
      <c r="N214">
        <f>IF(N95="","",SUM(N$6:N95))</f>
        <v>37269</v>
      </c>
      <c r="O214">
        <f>IF(O95="","",SUM(O$6:O95))</f>
        <v>55682</v>
      </c>
      <c r="P214">
        <f>IF(P95="","",SUM(P$6:P95))</f>
        <v>63930</v>
      </c>
      <c r="Q214">
        <f>IF(Q95="","",SUM(Q$6:Q95))</f>
        <v>76824</v>
      </c>
      <c r="R214">
        <f>IF(R95="","",SUM(R$6:R95))</f>
        <v>39885</v>
      </c>
      <c r="S214">
        <f>IF(S95="","",SUM(S$6:S95))</f>
        <v>65887</v>
      </c>
      <c r="T214">
        <f>IF(T95="","",SUM(T$6:T95))</f>
        <v>67827</v>
      </c>
      <c r="U214">
        <f>IF(U95="","",SUM(U$6:U95))</f>
        <v>45045</v>
      </c>
      <c r="V214" t="str">
        <f>IF(V95="","",SUM(V$6:V95))</f>
        <v/>
      </c>
      <c r="W214">
        <f>IF(W95="","",SUM(W$6:W95))</f>
        <v>80087</v>
      </c>
      <c r="X214">
        <f>IF(X95="","",SUM(X$6:X95))</f>
        <v>52607</v>
      </c>
      <c r="Y214">
        <f>IF(Y95="","",SUM(Y$6:Y95))</f>
        <v>84203</v>
      </c>
      <c r="Z214">
        <f>IF(Z95="","",SUM(Z$6:Z95))</f>
        <v>51545</v>
      </c>
      <c r="AA214">
        <f>IF(AA95="","",SUM(AA$6:AA95))</f>
        <v>116261</v>
      </c>
      <c r="AB214">
        <f>IF(AB95="","",SUM(AB$6:AB95))</f>
        <v>95583</v>
      </c>
      <c r="AC214">
        <f>IF(AC95="","",SUM(AC$6:AC95))</f>
        <v>81970</v>
      </c>
      <c r="AD214">
        <f>IF(AD95="","",SUM(AD$6:AD95))</f>
        <v>49169</v>
      </c>
      <c r="AE214">
        <f>IF(AE95="","",SUM(AE$6:AE95))</f>
        <v>74311</v>
      </c>
      <c r="AF214">
        <f>IF(AF95="","",SUM(AF$6:AF95))</f>
        <v>24018</v>
      </c>
      <c r="AG214">
        <f>IF(AG95="","",SUM(AG$6:AG95))</f>
        <v>57233</v>
      </c>
      <c r="AH214">
        <f>IF(AH95="","",SUM(AH$6:AH95))</f>
        <v>56919</v>
      </c>
      <c r="AI214">
        <f>IF(AI95="","",SUM(AI$6:AI95))</f>
        <v>97010</v>
      </c>
    </row>
    <row r="215" spans="1:35" x14ac:dyDescent="0.3">
      <c r="A215" s="3">
        <v>211</v>
      </c>
      <c r="B215">
        <f>IF(B96="","",SUM(B$6:B96))</f>
        <v>41647</v>
      </c>
      <c r="C215">
        <f>IF(C96="","",SUM(C$6:C96))</f>
        <v>76867</v>
      </c>
      <c r="D215" t="str">
        <f>IF(D96="","",SUM(D$6:D96))</f>
        <v/>
      </c>
      <c r="E215" t="str">
        <f>IF(E96="","",SUM(E$6:E96))</f>
        <v/>
      </c>
      <c r="F215">
        <f>IF(F96="","",SUM(F$6:F96))</f>
        <v>70837</v>
      </c>
      <c r="G215">
        <f>IF(G96="","",SUM(G$6:G96))</f>
        <v>54022</v>
      </c>
      <c r="H215">
        <f>IF(H96="","",SUM(H$6:H96))</f>
        <v>68949</v>
      </c>
      <c r="I215">
        <f>IF(I96="","",SUM(I$6:I96))</f>
        <v>39580</v>
      </c>
      <c r="J215">
        <f>IF(J96="","",SUM(J$6:J96))</f>
        <v>53853</v>
      </c>
      <c r="K215">
        <f>IF(K96="","",SUM(K$6:K96))</f>
        <v>38809</v>
      </c>
      <c r="L215">
        <f>IF(L96="","",SUM(L$6:L96))</f>
        <v>46388</v>
      </c>
      <c r="M215">
        <f>IF(M96="","",SUM(M$6:M96))</f>
        <v>54651</v>
      </c>
      <c r="N215">
        <f>IF(N96="","",SUM(N$6:N96))</f>
        <v>37852</v>
      </c>
      <c r="O215">
        <f>IF(O96="","",SUM(O$6:O96))</f>
        <v>56999</v>
      </c>
      <c r="P215">
        <f>IF(P96="","",SUM(P$6:P96))</f>
        <v>65038</v>
      </c>
      <c r="Q215">
        <f>IF(Q96="","",SUM(Q$6:Q96))</f>
        <v>77463</v>
      </c>
      <c r="R215">
        <f>IF(R96="","",SUM(R$6:R96))</f>
        <v>40667</v>
      </c>
      <c r="S215">
        <f>IF(S96="","",SUM(S$6:S96))</f>
        <v>66019</v>
      </c>
      <c r="T215">
        <f>IF(T96="","",SUM(T$6:T96))</f>
        <v>70045</v>
      </c>
      <c r="U215">
        <f>IF(U96="","",SUM(U$6:U96))</f>
        <v>47800</v>
      </c>
      <c r="V215" t="str">
        <f>IF(V96="","",SUM(V$6:V96))</f>
        <v/>
      </c>
      <c r="W215">
        <f>IF(W96="","",SUM(W$6:W96))</f>
        <v>80350</v>
      </c>
      <c r="X215">
        <f>IF(X96="","",SUM(X$6:X96))</f>
        <v>53033</v>
      </c>
      <c r="Y215">
        <f>IF(Y96="","",SUM(Y$6:Y96))</f>
        <v>84942</v>
      </c>
      <c r="Z215">
        <f>IF(Z96="","",SUM(Z$6:Z96))</f>
        <v>54093</v>
      </c>
      <c r="AA215">
        <f>IF(AA96="","",SUM(AA$6:AA96))</f>
        <v>116704</v>
      </c>
      <c r="AB215">
        <f>IF(AB96="","",SUM(AB$6:AB96))</f>
        <v>95624</v>
      </c>
      <c r="AC215">
        <f>IF(AC96="","",SUM(AC$6:AC96))</f>
        <v>84125</v>
      </c>
      <c r="AD215">
        <f>IF(AD96="","",SUM(AD$6:AD96))</f>
        <v>49497</v>
      </c>
      <c r="AE215">
        <f>IF(AE96="","",SUM(AE$6:AE96))</f>
        <v>76853</v>
      </c>
      <c r="AF215">
        <f>IF(AF96="","",SUM(AF$6:AF96))</f>
        <v>24660</v>
      </c>
      <c r="AG215">
        <f>IF(AG96="","",SUM(AG$6:AG96))</f>
        <v>58040</v>
      </c>
      <c r="AH215">
        <f>IF(AH96="","",SUM(AH$6:AH96))</f>
        <v>58166</v>
      </c>
      <c r="AI215">
        <f>IF(AI96="","",SUM(AI$6:AI96))</f>
        <v>100371</v>
      </c>
    </row>
    <row r="216" spans="1:35" x14ac:dyDescent="0.3">
      <c r="A216" s="3">
        <v>212</v>
      </c>
      <c r="B216">
        <f>IF(B97="","",SUM(B$6:B97))</f>
        <v>42721</v>
      </c>
      <c r="C216">
        <f>IF(C97="","",SUM(C$6:C97))</f>
        <v>77325</v>
      </c>
      <c r="D216" t="str">
        <f>IF(D97="","",SUM(D$6:D97))</f>
        <v/>
      </c>
      <c r="E216" t="str">
        <f>IF(E97="","",SUM(E$6:E97))</f>
        <v/>
      </c>
      <c r="F216">
        <f>IF(F97="","",SUM(F$6:F97))</f>
        <v>71146</v>
      </c>
      <c r="G216">
        <f>IF(G97="","",SUM(G$6:G97))</f>
        <v>55177</v>
      </c>
      <c r="H216">
        <f>IF(H97="","",SUM(H$6:H97))</f>
        <v>69327</v>
      </c>
      <c r="I216">
        <f>IF(I97="","",SUM(I$6:I97))</f>
        <v>40880</v>
      </c>
      <c r="J216">
        <f>IF(J97="","",SUM(J$6:J97))</f>
        <v>53930</v>
      </c>
      <c r="K216">
        <f>IF(K97="","",SUM(K$6:K97))</f>
        <v>39298</v>
      </c>
      <c r="L216">
        <f>IF(L97="","",SUM(L$6:L97))</f>
        <v>47040</v>
      </c>
      <c r="M216">
        <f>IF(M97="","",SUM(M$6:M97))</f>
        <v>55020</v>
      </c>
      <c r="N216">
        <f>IF(N97="","",SUM(N$6:N97))</f>
        <v>38883</v>
      </c>
      <c r="O216">
        <f>IF(O97="","",SUM(O$6:O97))</f>
        <v>57336</v>
      </c>
      <c r="P216">
        <f>IF(P97="","",SUM(P$6:P97))</f>
        <v>65253</v>
      </c>
      <c r="Q216">
        <f>IF(Q97="","",SUM(Q$6:Q97))</f>
        <v>80455</v>
      </c>
      <c r="R216">
        <f>IF(R97="","",SUM(R$6:R97))</f>
        <v>40744</v>
      </c>
      <c r="S216">
        <f>IF(S97="","",SUM(S$6:S97))</f>
        <v>66476</v>
      </c>
      <c r="T216">
        <f>IF(T97="","",SUM(T$6:T97))</f>
        <v>71196</v>
      </c>
      <c r="U216">
        <f>IF(U97="","",SUM(U$6:U97))</f>
        <v>49042</v>
      </c>
      <c r="V216" t="str">
        <f>IF(V97="","",SUM(V$6:V97))</f>
        <v/>
      </c>
      <c r="W216">
        <f>IF(W97="","",SUM(W$6:W97))</f>
        <v>80444</v>
      </c>
      <c r="X216">
        <f>IF(X97="","",SUM(X$6:X97))</f>
        <v>53069</v>
      </c>
      <c r="Y216">
        <f>IF(Y97="","",SUM(Y$6:Y97))</f>
        <v>85455</v>
      </c>
      <c r="Z216">
        <f>IF(Z97="","",SUM(Z$6:Z97))</f>
        <v>54736</v>
      </c>
      <c r="AA216">
        <f>IF(AA97="","",SUM(AA$6:AA97))</f>
        <v>117922</v>
      </c>
      <c r="AB216">
        <f>IF(AB97="","",SUM(AB$6:AB97))</f>
        <v>96403</v>
      </c>
      <c r="AC216">
        <f>IF(AC97="","",SUM(AC$6:AC97))</f>
        <v>88039</v>
      </c>
      <c r="AD216">
        <f>IF(AD97="","",SUM(AD$6:AD97))</f>
        <v>49805</v>
      </c>
      <c r="AE216">
        <f>IF(AE97="","",SUM(AE$6:AE97))</f>
        <v>78356</v>
      </c>
      <c r="AF216">
        <f>IF(AF97="","",SUM(AF$6:AF97))</f>
        <v>25283</v>
      </c>
      <c r="AG216">
        <f>IF(AG97="","",SUM(AG$6:AG97))</f>
        <v>58266</v>
      </c>
      <c r="AH216">
        <f>IF(AH97="","",SUM(AH$6:AH97))</f>
        <v>59328</v>
      </c>
      <c r="AI216">
        <f>IF(AI97="","",SUM(AI$6:AI97))</f>
        <v>101160</v>
      </c>
    </row>
    <row r="217" spans="1:35" x14ac:dyDescent="0.3">
      <c r="A217" s="3">
        <v>213</v>
      </c>
      <c r="B217">
        <f>IF(B98="","",SUM(B$6:B98))</f>
        <v>43098</v>
      </c>
      <c r="C217">
        <f>IF(C98="","",SUM(C$6:C98))</f>
        <v>78062</v>
      </c>
      <c r="D217" t="str">
        <f>IF(D98="","",SUM(D$6:D98))</f>
        <v/>
      </c>
      <c r="E217" t="str">
        <f>IF(E98="","",SUM(E$6:E98))</f>
        <v/>
      </c>
      <c r="F217">
        <f>IF(F98="","",SUM(F$6:F98))</f>
        <v>73005</v>
      </c>
      <c r="G217">
        <f>IF(G98="","",SUM(G$6:G98))</f>
        <v>55910</v>
      </c>
      <c r="H217">
        <f>IF(H98="","",SUM(H$6:H98))</f>
        <v>70219</v>
      </c>
      <c r="I217">
        <f>IF(I98="","",SUM(I$6:I98))</f>
        <v>41581</v>
      </c>
      <c r="J217">
        <f>IF(J98="","",SUM(J$6:J98))</f>
        <v>54811</v>
      </c>
      <c r="K217">
        <f>IF(K98="","",SUM(K$6:K98))</f>
        <v>39698</v>
      </c>
      <c r="L217">
        <f>IF(L98="","",SUM(L$6:L98))</f>
        <v>47947</v>
      </c>
      <c r="M217">
        <f>IF(M98="","",SUM(M$6:M98))</f>
        <v>55589</v>
      </c>
      <c r="N217">
        <f>IF(N98="","",SUM(N$6:N98))</f>
        <v>39053</v>
      </c>
      <c r="O217">
        <f>IF(O98="","",SUM(O$6:O98))</f>
        <v>57790</v>
      </c>
      <c r="P217">
        <f>IF(P98="","",SUM(P$6:P98))</f>
        <v>65770</v>
      </c>
      <c r="Q217">
        <f>IF(Q98="","",SUM(Q$6:Q98))</f>
        <v>82929</v>
      </c>
      <c r="R217">
        <f>IF(R98="","",SUM(R$6:R98))</f>
        <v>40836</v>
      </c>
      <c r="S217" t="str">
        <f>IF(S98="","",SUM(S$6:S98))</f>
        <v/>
      </c>
      <c r="T217">
        <f>IF(T98="","",SUM(T$6:T98))</f>
        <v>71623</v>
      </c>
      <c r="U217">
        <f>IF(U98="","",SUM(U$6:U98))</f>
        <v>50725</v>
      </c>
      <c r="V217" t="str">
        <f>IF(V98="","",SUM(V$6:V98))</f>
        <v/>
      </c>
      <c r="W217">
        <f>IF(W98="","",SUM(W$6:W98))</f>
        <v>80903</v>
      </c>
      <c r="X217">
        <f>IF(X98="","",SUM(X$6:X98))</f>
        <v>53079</v>
      </c>
      <c r="Y217">
        <f>IF(Y98="","",SUM(Y$6:Y98))</f>
        <v>85787</v>
      </c>
      <c r="Z217">
        <f>IF(Z98="","",SUM(Z$6:Z98))</f>
        <v>55888</v>
      </c>
      <c r="AA217">
        <f>IF(AA98="","",SUM(AA$6:AA98))</f>
        <v>118249</v>
      </c>
      <c r="AB217">
        <f>IF(AB98="","",SUM(AB$6:AB98))</f>
        <v>98028</v>
      </c>
      <c r="AC217">
        <f>IF(AC98="","",SUM(AC$6:AC98))</f>
        <v>90764</v>
      </c>
      <c r="AD217">
        <f>IF(AD98="","",SUM(AD$6:AD98))</f>
        <v>50093</v>
      </c>
      <c r="AE217">
        <f>IF(AE98="","",SUM(AE$6:AE98))</f>
        <v>80190</v>
      </c>
      <c r="AF217">
        <f>IF(AF98="","",SUM(AF$6:AF98))</f>
        <v>25715</v>
      </c>
      <c r="AG217">
        <f>IF(AG98="","",SUM(AG$6:AG98))</f>
        <v>59142</v>
      </c>
      <c r="AH217">
        <f>IF(AH98="","",SUM(AH$6:AH98))</f>
        <v>60038</v>
      </c>
      <c r="AI217">
        <f>IF(AI98="","",SUM(AI$6:AI98))</f>
        <v>103982</v>
      </c>
    </row>
    <row r="218" spans="1:35" x14ac:dyDescent="0.3">
      <c r="A218" s="3">
        <v>214</v>
      </c>
      <c r="B218">
        <f>IF(B99="","",SUM(B$6:B99))</f>
        <v>43199</v>
      </c>
      <c r="C218">
        <f>IF(C99="","",SUM(C$6:C99))</f>
        <v>79250</v>
      </c>
      <c r="D218" t="str">
        <f>IF(D99="","",SUM(D$6:D99))</f>
        <v/>
      </c>
      <c r="E218" t="str">
        <f>IF(E99="","",SUM(E$6:E99))</f>
        <v/>
      </c>
      <c r="F218">
        <f>IF(F99="","",SUM(F$6:F99))</f>
        <v>74351</v>
      </c>
      <c r="G218">
        <f>IF(G99="","",SUM(G$6:G99))</f>
        <v>57885</v>
      </c>
      <c r="H218">
        <f>IF(H99="","",SUM(H$6:H99))</f>
        <v>70648</v>
      </c>
      <c r="I218">
        <f>IF(I99="","",SUM(I$6:I99))</f>
        <v>42234</v>
      </c>
      <c r="J218">
        <f>IF(J99="","",SUM(J$6:J99))</f>
        <v>55121</v>
      </c>
      <c r="K218">
        <f>IF(K99="","",SUM(K$6:K99))</f>
        <v>40020</v>
      </c>
      <c r="L218">
        <f>IF(L99="","",SUM(L$6:L99))</f>
        <v>48620</v>
      </c>
      <c r="M218">
        <f>IF(M99="","",SUM(M$6:M99))</f>
        <v>56522</v>
      </c>
      <c r="N218">
        <f>IF(N99="","",SUM(N$6:N99))</f>
        <v>39123</v>
      </c>
      <c r="O218">
        <f>IF(O99="","",SUM(O$6:O99))</f>
        <v>58153</v>
      </c>
      <c r="P218">
        <f>IF(P99="","",SUM(P$6:P99))</f>
        <v>66121</v>
      </c>
      <c r="Q218">
        <f>IF(Q99="","",SUM(Q$6:Q99))</f>
        <v>83884</v>
      </c>
      <c r="R218">
        <f>IF(R99="","",SUM(R$6:R99))</f>
        <v>41433</v>
      </c>
      <c r="S218" t="str">
        <f>IF(S99="","",SUM(S$6:S99))</f>
        <v/>
      </c>
      <c r="T218">
        <f>IF(T99="","",SUM(T$6:T99))</f>
        <v>74568</v>
      </c>
      <c r="U218">
        <f>IF(U99="","",SUM(U$6:U99))</f>
        <v>51570</v>
      </c>
      <c r="V218" t="str">
        <f>IF(V99="","",SUM(V$6:V99))</f>
        <v/>
      </c>
      <c r="W218">
        <f>IF(W99="","",SUM(W$6:W99))</f>
        <v>81333</v>
      </c>
      <c r="X218">
        <f>IF(X99="","",SUM(X$6:X99))</f>
        <v>53214</v>
      </c>
      <c r="Y218">
        <f>IF(Y99="","",SUM(Y$6:Y99))</f>
        <v>86305</v>
      </c>
      <c r="Z218">
        <f>IF(Z99="","",SUM(Z$6:Z99))</f>
        <v>56479</v>
      </c>
      <c r="AA218">
        <f>IF(AA99="","",SUM(AA$6:AA99))</f>
        <v>118499</v>
      </c>
      <c r="AB218">
        <f>IF(AB99="","",SUM(AB$6:AB99))</f>
        <v>99708</v>
      </c>
      <c r="AC218">
        <f>IF(AC99="","",SUM(AC$6:AC99))</f>
        <v>91999</v>
      </c>
      <c r="AD218">
        <f>IF(AD99="","",SUM(AD$6:AD99))</f>
        <v>50341</v>
      </c>
      <c r="AE218">
        <f>IF(AE99="","",SUM(AE$6:AE99))</f>
        <v>81917</v>
      </c>
      <c r="AF218">
        <f>IF(AF99="","",SUM(AF$6:AF99))</f>
        <v>25763</v>
      </c>
      <c r="AG218">
        <f>IF(AG99="","",SUM(AG$6:AG99))</f>
        <v>60837</v>
      </c>
      <c r="AH218">
        <f>IF(AH99="","",SUM(AH$6:AH99))</f>
        <v>61174</v>
      </c>
      <c r="AI218">
        <f>IF(AI99="","",SUM(AI$6:AI99))</f>
        <v>105550</v>
      </c>
    </row>
    <row r="219" spans="1:35" x14ac:dyDescent="0.3">
      <c r="A219" s="3">
        <v>215</v>
      </c>
      <c r="B219">
        <f>IF(B100="","",SUM(B$6:B100))</f>
        <v>44518</v>
      </c>
      <c r="C219">
        <f>IF(C100="","",SUM(C$6:C100))</f>
        <v>80263</v>
      </c>
      <c r="D219" t="str">
        <f>IF(D100="","",SUM(D$6:D100))</f>
        <v/>
      </c>
      <c r="E219" t="str">
        <f>IF(E100="","",SUM(E$6:E100))</f>
        <v/>
      </c>
      <c r="F219">
        <f>IF(F100="","",SUM(F$6:F100))</f>
        <v>75259</v>
      </c>
      <c r="G219">
        <f>IF(G100="","",SUM(G$6:G100))</f>
        <v>60024</v>
      </c>
      <c r="H219">
        <f>IF(H100="","",SUM(H$6:H100))</f>
        <v>71592</v>
      </c>
      <c r="I219">
        <f>IF(I100="","",SUM(I$6:I100))</f>
        <v>42463</v>
      </c>
      <c r="J219">
        <f>IF(J100="","",SUM(J$6:J100))</f>
        <v>56834</v>
      </c>
      <c r="K219">
        <f>IF(K100="","",SUM(K$6:K100))</f>
        <v>40429</v>
      </c>
      <c r="L219">
        <f>IF(L100="","",SUM(L$6:L100))</f>
        <v>49797</v>
      </c>
      <c r="M219">
        <f>IF(M100="","",SUM(M$6:M100))</f>
        <v>59657</v>
      </c>
      <c r="N219">
        <f>IF(N100="","",SUM(N$6:N100))</f>
        <v>39588</v>
      </c>
      <c r="O219">
        <f>IF(O100="","",SUM(O$6:O100))</f>
        <v>59008</v>
      </c>
      <c r="P219">
        <f>IF(P100="","",SUM(P$6:P100))</f>
        <v>66919</v>
      </c>
      <c r="Q219">
        <f>IF(Q100="","",SUM(Q$6:Q100))</f>
        <v>85643</v>
      </c>
      <c r="R219">
        <f>IF(R100="","",SUM(R$6:R100))</f>
        <v>41986</v>
      </c>
      <c r="S219" t="str">
        <f>IF(S100="","",SUM(S$6:S100))</f>
        <v/>
      </c>
      <c r="T219">
        <f>IF(T100="","",SUM(T$6:T100))</f>
        <v>75922</v>
      </c>
      <c r="U219">
        <f>IF(U100="","",SUM(U$6:U100))</f>
        <v>52006</v>
      </c>
      <c r="V219" t="str">
        <f>IF(V100="","",SUM(V$6:V100))</f>
        <v/>
      </c>
      <c r="W219">
        <f>IF(W100="","",SUM(W$6:W100))</f>
        <v>82457</v>
      </c>
      <c r="X219">
        <f>IF(X100="","",SUM(X$6:X100))</f>
        <v>53349</v>
      </c>
      <c r="Y219">
        <f>IF(Y100="","",SUM(Y$6:Y100))</f>
        <v>86534</v>
      </c>
      <c r="Z219">
        <f>IF(Z100="","",SUM(Z$6:Z100))</f>
        <v>58170</v>
      </c>
      <c r="AA219">
        <f>IF(AA100="","",SUM(AA$6:AA100))</f>
        <v>118680</v>
      </c>
      <c r="AB219">
        <f>IF(AB100="","",SUM(AB$6:AB100))</f>
        <v>101271</v>
      </c>
      <c r="AC219">
        <f>IF(AC100="","",SUM(AC$6:AC100))</f>
        <v>93615</v>
      </c>
      <c r="AD219">
        <f>IF(AD100="","",SUM(AD$6:AD100))</f>
        <v>50580</v>
      </c>
      <c r="AE219">
        <f>IF(AE100="","",SUM(AE$6:AE100))</f>
        <v>83433</v>
      </c>
      <c r="AF219">
        <f>IF(AF100="","",SUM(AF$6:AF100))</f>
        <v>25876</v>
      </c>
      <c r="AG219">
        <f>IF(AG100="","",SUM(AG$6:AG100))</f>
        <v>61158</v>
      </c>
      <c r="AH219">
        <f>IF(AH100="","",SUM(AH$6:AH100))</f>
        <v>61918</v>
      </c>
      <c r="AI219">
        <f>IF(AI100="","",SUM(AI$6:AI100))</f>
        <v>106672</v>
      </c>
    </row>
    <row r="220" spans="1:35" x14ac:dyDescent="0.3">
      <c r="A220" s="3">
        <v>216</v>
      </c>
      <c r="B220">
        <f>IF(B101="","",SUM(B$6:B101))</f>
        <v>44575</v>
      </c>
      <c r="C220">
        <f>IF(C101="","",SUM(C$6:C101))</f>
        <v>81308</v>
      </c>
      <c r="D220" t="str">
        <f>IF(D101="","",SUM(D$6:D101))</f>
        <v/>
      </c>
      <c r="E220" t="str">
        <f>IF(E101="","",SUM(E$6:E101))</f>
        <v/>
      </c>
      <c r="F220">
        <f>IF(F101="","",SUM(F$6:F101))</f>
        <v>76075</v>
      </c>
      <c r="G220">
        <f>IF(G101="","",SUM(G$6:G101))</f>
        <v>61423</v>
      </c>
      <c r="H220">
        <f>IF(H101="","",SUM(H$6:H101))</f>
        <v>72474</v>
      </c>
      <c r="I220" t="str">
        <f>IF(I101="","",SUM(I$6:I101))</f>
        <v/>
      </c>
      <c r="J220">
        <f>IF(J101="","",SUM(J$6:J101))</f>
        <v>57825</v>
      </c>
      <c r="K220">
        <f>IF(K101="","",SUM(K$6:K101))</f>
        <v>40760</v>
      </c>
      <c r="L220">
        <f>IF(L101="","",SUM(L$6:L101))</f>
        <v>50082</v>
      </c>
      <c r="M220">
        <f>IF(M101="","",SUM(M$6:M101))</f>
        <v>60592</v>
      </c>
      <c r="N220">
        <f>IF(N101="","",SUM(N$6:N101))</f>
        <v>39864</v>
      </c>
      <c r="O220">
        <f>IF(O101="","",SUM(O$6:O101))</f>
        <v>59515</v>
      </c>
      <c r="P220">
        <f>IF(P101="","",SUM(P$6:P101))</f>
        <v>67787</v>
      </c>
      <c r="Q220">
        <f>IF(Q101="","",SUM(Q$6:Q101))</f>
        <v>86865</v>
      </c>
      <c r="R220">
        <f>IF(R101="","",SUM(R$6:R101))</f>
        <v>42195</v>
      </c>
      <c r="S220" t="str">
        <f>IF(S101="","",SUM(S$6:S101))</f>
        <v/>
      </c>
      <c r="T220">
        <f>IF(T101="","",SUM(T$6:T101))</f>
        <v>76453</v>
      </c>
      <c r="U220">
        <f>IF(U101="","",SUM(U$6:U101))</f>
        <v>52662</v>
      </c>
      <c r="V220" t="str">
        <f>IF(V101="","",SUM(V$6:V101))</f>
        <v/>
      </c>
      <c r="W220">
        <f>IF(W101="","",SUM(W$6:W101))</f>
        <v>83365</v>
      </c>
      <c r="X220">
        <f>IF(X101="","",SUM(X$6:X101))</f>
        <v>53499</v>
      </c>
      <c r="Y220">
        <f>IF(Y101="","",SUM(Y$6:Y101))</f>
        <v>88447</v>
      </c>
      <c r="Z220">
        <f>IF(Z101="","",SUM(Z$6:Z101))</f>
        <v>59041</v>
      </c>
      <c r="AA220">
        <f>IF(AA101="","",SUM(AA$6:AA101))</f>
        <v>118767</v>
      </c>
      <c r="AB220">
        <f>IF(AB101="","",SUM(AB$6:AB101))</f>
        <v>101952</v>
      </c>
      <c r="AC220">
        <f>IF(AC101="","",SUM(AC$6:AC101))</f>
        <v>94276</v>
      </c>
      <c r="AD220">
        <f>IF(AD101="","",SUM(AD$6:AD101))</f>
        <v>51097</v>
      </c>
      <c r="AE220">
        <f>IF(AE101="","",SUM(AE$6:AE101))</f>
        <v>85112</v>
      </c>
      <c r="AF220">
        <f>IF(AF101="","",SUM(AF$6:AF101))</f>
        <v>26001</v>
      </c>
      <c r="AG220">
        <f>IF(AG101="","",SUM(AG$6:AG101))</f>
        <v>62530</v>
      </c>
      <c r="AH220">
        <f>IF(AH101="","",SUM(AH$6:AH101))</f>
        <v>62483</v>
      </c>
      <c r="AI220">
        <f>IF(AI101="","",SUM(AI$6:AI101))</f>
        <v>108353</v>
      </c>
    </row>
    <row r="221" spans="1:35" x14ac:dyDescent="0.3">
      <c r="A221" s="3">
        <v>217</v>
      </c>
      <c r="B221">
        <f>IF(B102="","",SUM(B$6:B102))</f>
        <v>45020</v>
      </c>
      <c r="C221">
        <f>IF(C102="","",SUM(C$6:C102))</f>
        <v>81558</v>
      </c>
      <c r="D221" t="str">
        <f>IF(D102="","",SUM(D$6:D102))</f>
        <v/>
      </c>
      <c r="E221" t="str">
        <f>IF(E102="","",SUM(E$6:E102))</f>
        <v/>
      </c>
      <c r="F221">
        <f>IF(F102="","",SUM(F$6:F102))</f>
        <v>76516</v>
      </c>
      <c r="G221">
        <f>IF(G102="","",SUM(G$6:G102))</f>
        <v>62110</v>
      </c>
      <c r="H221" t="str">
        <f>IF(H102="","",SUM(H$6:H102))</f>
        <v/>
      </c>
      <c r="I221" t="str">
        <f>IF(I102="","",SUM(I$6:I102))</f>
        <v/>
      </c>
      <c r="J221">
        <f>IF(J102="","",SUM(J$6:J102))</f>
        <v>58533</v>
      </c>
      <c r="K221">
        <f>IF(K102="","",SUM(K$6:K102))</f>
        <v>40912</v>
      </c>
      <c r="L221">
        <f>IF(L102="","",SUM(L$6:L102))</f>
        <v>50546</v>
      </c>
      <c r="M221">
        <f>IF(M102="","",SUM(M$6:M102))</f>
        <v>61051</v>
      </c>
      <c r="N221">
        <f>IF(N102="","",SUM(N$6:N102))</f>
        <v>40359</v>
      </c>
      <c r="O221">
        <f>IF(O102="","",SUM(O$6:O102))</f>
        <v>60130</v>
      </c>
      <c r="P221">
        <f>IF(P102="","",SUM(P$6:P102))</f>
        <v>68615</v>
      </c>
      <c r="Q221">
        <f>IF(Q102="","",SUM(Q$6:Q102))</f>
        <v>87516</v>
      </c>
      <c r="R221">
        <f>IF(R102="","",SUM(R$6:R102))</f>
        <v>42307</v>
      </c>
      <c r="S221" t="str">
        <f>IF(S102="","",SUM(S$6:S102))</f>
        <v/>
      </c>
      <c r="T221">
        <f>IF(T102="","",SUM(T$6:T102))</f>
        <v>77202</v>
      </c>
      <c r="U221">
        <f>IF(U102="","",SUM(U$6:U102))</f>
        <v>54090</v>
      </c>
      <c r="V221" t="str">
        <f>IF(V102="","",SUM(V$6:V102))</f>
        <v/>
      </c>
      <c r="W221">
        <f>IF(W102="","",SUM(W$6:W102))</f>
        <v>83959</v>
      </c>
      <c r="X221" t="str">
        <f>IF(X102="","",SUM(X$6:X102))</f>
        <v/>
      </c>
      <c r="Y221">
        <f>IF(Y102="","",SUM(Y$6:Y102))</f>
        <v>88712</v>
      </c>
      <c r="Z221">
        <f>IF(Z102="","",SUM(Z$6:Z102))</f>
        <v>61434</v>
      </c>
      <c r="AA221" t="str">
        <f>IF(AA102="","",SUM(AA$6:AA102))</f>
        <v/>
      </c>
      <c r="AB221">
        <f>IF(AB102="","",SUM(AB$6:AB102))</f>
        <v>102994</v>
      </c>
      <c r="AC221">
        <f>IF(AC102="","",SUM(AC$6:AC102))</f>
        <v>94531</v>
      </c>
      <c r="AD221">
        <f>IF(AD102="","",SUM(AD$6:AD102))</f>
        <v>51561</v>
      </c>
      <c r="AE221">
        <f>IF(AE102="","",SUM(AE$6:AE102))</f>
        <v>85694</v>
      </c>
      <c r="AF221">
        <f>IF(AF102="","",SUM(AF$6:AF102))</f>
        <v>26214</v>
      </c>
      <c r="AG221">
        <f>IF(AG102="","",SUM(AG$6:AG102))</f>
        <v>63991</v>
      </c>
      <c r="AH221">
        <f>IF(AH102="","",SUM(AH$6:AH102))</f>
        <v>62869</v>
      </c>
      <c r="AI221">
        <f>IF(AI102="","",SUM(AI$6:AI102))</f>
        <v>109603</v>
      </c>
    </row>
    <row r="222" spans="1:35" x14ac:dyDescent="0.3">
      <c r="A222" s="3">
        <v>218</v>
      </c>
      <c r="B222">
        <f>IF(B103="","",SUM(B$6:B103))</f>
        <v>45343</v>
      </c>
      <c r="C222">
        <f>IF(C103="","",SUM(C$6:C103))</f>
        <v>82120</v>
      </c>
      <c r="D222" t="str">
        <f>IF(D103="","",SUM(D$6:D103))</f>
        <v/>
      </c>
      <c r="E222" t="str">
        <f>IF(E103="","",SUM(E$6:E103))</f>
        <v/>
      </c>
      <c r="F222">
        <f>IF(F103="","",SUM(F$6:F103))</f>
        <v>76733</v>
      </c>
      <c r="G222" t="str">
        <f>IF(G103="","",SUM(G$6:G103))</f>
        <v/>
      </c>
      <c r="H222" t="str">
        <f>IF(H103="","",SUM(H$6:H103))</f>
        <v/>
      </c>
      <c r="I222" t="str">
        <f>IF(I103="","",SUM(I$6:I103))</f>
        <v/>
      </c>
      <c r="J222">
        <f>IF(J103="","",SUM(J$6:J103))</f>
        <v>59438</v>
      </c>
      <c r="K222">
        <f>IF(K103="","",SUM(K$6:K103))</f>
        <v>41540</v>
      </c>
      <c r="L222" t="str">
        <f>IF(L103="","",SUM(L$6:L103))</f>
        <v/>
      </c>
      <c r="M222">
        <f>IF(M103="","",SUM(M$6:M103))</f>
        <v>61544</v>
      </c>
      <c r="N222">
        <f>IF(N103="","",SUM(N$6:N103))</f>
        <v>40735</v>
      </c>
      <c r="O222">
        <f>IF(O103="","",SUM(O$6:O103))</f>
        <v>60247</v>
      </c>
      <c r="P222">
        <f>IF(P103="","",SUM(P$6:P103))</f>
        <v>68742</v>
      </c>
      <c r="Q222">
        <f>IF(Q103="","",SUM(Q$6:Q103))</f>
        <v>88046</v>
      </c>
      <c r="R222">
        <f>IF(R103="","",SUM(R$6:R103))</f>
        <v>42897</v>
      </c>
      <c r="S222" t="str">
        <f>IF(S103="","",SUM(S$6:S103))</f>
        <v/>
      </c>
      <c r="T222">
        <f>IF(T103="","",SUM(T$6:T103))</f>
        <v>78387</v>
      </c>
      <c r="U222">
        <f>IF(U103="","",SUM(U$6:U103))</f>
        <v>56212</v>
      </c>
      <c r="V222" t="str">
        <f>IF(V103="","",SUM(V$6:V103))</f>
        <v/>
      </c>
      <c r="W222" t="str">
        <f>IF(W103="","",SUM(W$6:W103))</f>
        <v/>
      </c>
      <c r="X222" t="str">
        <f>IF(X103="","",SUM(X$6:X103))</f>
        <v/>
      </c>
      <c r="Y222">
        <f>IF(Y103="","",SUM(Y$6:Y103))</f>
        <v>89807</v>
      </c>
      <c r="Z222">
        <f>IF(Z103="","",SUM(Z$6:Z103))</f>
        <v>62136</v>
      </c>
      <c r="AA222" t="str">
        <f>IF(AA103="","",SUM(AA$6:AA103))</f>
        <v/>
      </c>
      <c r="AB222" t="str">
        <f>IF(AB103="","",SUM(AB$6:AB103))</f>
        <v/>
      </c>
      <c r="AC222">
        <f>IF(AC103="","",SUM(AC$6:AC103))</f>
        <v>95034</v>
      </c>
      <c r="AD222">
        <f>IF(AD103="","",SUM(AD$6:AD103))</f>
        <v>52756</v>
      </c>
      <c r="AE222">
        <f>IF(AE103="","",SUM(AE$6:AE103))</f>
        <v>86933</v>
      </c>
      <c r="AF222">
        <f>IF(AF103="","",SUM(AF$6:AF103))</f>
        <v>26650</v>
      </c>
      <c r="AG222">
        <f>IF(AG103="","",SUM(AG$6:AG103))</f>
        <v>66347</v>
      </c>
      <c r="AH222">
        <f>IF(AH103="","",SUM(AH$6:AH103))</f>
        <v>63062</v>
      </c>
      <c r="AI222">
        <f>IF(AI103="","",SUM(AI$6:AI103))</f>
        <v>111783</v>
      </c>
    </row>
    <row r="223" spans="1:35" x14ac:dyDescent="0.3">
      <c r="A223" s="3">
        <v>219</v>
      </c>
      <c r="B223">
        <f>IF(B104="","",SUM(B$6:B104))</f>
        <v>45666</v>
      </c>
      <c r="C223">
        <f>IF(C104="","",SUM(C$6:C104))</f>
        <v>82315</v>
      </c>
      <c r="D223" t="str">
        <f>IF(D104="","",SUM(D$6:D104))</f>
        <v/>
      </c>
      <c r="E223" t="str">
        <f>IF(E104="","",SUM(E$6:E104))</f>
        <v/>
      </c>
      <c r="F223" t="str">
        <f>IF(F104="","",SUM(F$6:F104))</f>
        <v/>
      </c>
      <c r="G223" t="str">
        <f>IF(G104="","",SUM(G$6:G104))</f>
        <v/>
      </c>
      <c r="H223" t="str">
        <f>IF(H104="","",SUM(H$6:H104))</f>
        <v/>
      </c>
      <c r="I223" t="str">
        <f>IF(I104="","",SUM(I$6:I104))</f>
        <v/>
      </c>
      <c r="J223">
        <f>IF(J104="","",SUM(J$6:J104))</f>
        <v>61269</v>
      </c>
      <c r="K223">
        <f>IF(K104="","",SUM(K$6:K104))</f>
        <v>42050</v>
      </c>
      <c r="L223" t="str">
        <f>IF(L104="","",SUM(L$6:L104))</f>
        <v/>
      </c>
      <c r="M223" t="str">
        <f>IF(M104="","",SUM(M$6:M104))</f>
        <v/>
      </c>
      <c r="N223">
        <f>IF(N104="","",SUM(N$6:N104))</f>
        <v>41000</v>
      </c>
      <c r="O223">
        <f>IF(O104="","",SUM(O$6:O104))</f>
        <v>60274</v>
      </c>
      <c r="P223">
        <f>IF(P104="","",SUM(P$6:P104))</f>
        <v>68773</v>
      </c>
      <c r="Q223">
        <f>IF(Q104="","",SUM(Q$6:Q104))</f>
        <v>88853</v>
      </c>
      <c r="R223">
        <f>IF(R104="","",SUM(R$6:R104))</f>
        <v>42998</v>
      </c>
      <c r="S223" t="str">
        <f>IF(S104="","",SUM(S$6:S104))</f>
        <v/>
      </c>
      <c r="T223">
        <f>IF(T104="","",SUM(T$6:T104))</f>
        <v>79845</v>
      </c>
      <c r="U223">
        <f>IF(U104="","",SUM(U$6:U104))</f>
        <v>57261</v>
      </c>
      <c r="V223" t="str">
        <f>IF(V104="","",SUM(V$6:V104))</f>
        <v/>
      </c>
      <c r="W223" t="str">
        <f>IF(W104="","",SUM(W$6:W104))</f>
        <v/>
      </c>
      <c r="X223" t="str">
        <f>IF(X104="","",SUM(X$6:X104))</f>
        <v/>
      </c>
      <c r="Y223">
        <f>IF(Y104="","",SUM(Y$6:Y104))</f>
        <v>89943</v>
      </c>
      <c r="Z223">
        <f>IF(Z104="","",SUM(Z$6:Z104))</f>
        <v>62300</v>
      </c>
      <c r="AA223" t="str">
        <f>IF(AA104="","",SUM(AA$6:AA104))</f>
        <v/>
      </c>
      <c r="AB223" t="str">
        <f>IF(AB104="","",SUM(AB$6:AB104))</f>
        <v/>
      </c>
      <c r="AC223">
        <f>IF(AC104="","",SUM(AC$6:AC104))</f>
        <v>95093</v>
      </c>
      <c r="AD223">
        <f>IF(AD104="","",SUM(AD$6:AD104))</f>
        <v>54464</v>
      </c>
      <c r="AE223">
        <f>IF(AE104="","",SUM(AE$6:AE104))</f>
        <v>88970</v>
      </c>
      <c r="AF223">
        <f>IF(AF104="","",SUM(AF$6:AF104))</f>
        <v>26704</v>
      </c>
      <c r="AG223">
        <f>IF(AG104="","",SUM(AG$6:AG104))</f>
        <v>69248</v>
      </c>
      <c r="AH223">
        <f>IF(AH104="","",SUM(AH$6:AH104))</f>
        <v>63282</v>
      </c>
      <c r="AI223">
        <f>IF(AI104="","",SUM(AI$6:AI104))</f>
        <v>114253</v>
      </c>
    </row>
    <row r="224" spans="1:35" x14ac:dyDescent="0.3">
      <c r="A224" s="3">
        <v>220</v>
      </c>
      <c r="B224">
        <f>IF(B105="","",SUM(B$6:B105))</f>
        <v>45673</v>
      </c>
      <c r="C224">
        <f>IF(C105="","",SUM(C$6:C105))</f>
        <v>82628</v>
      </c>
      <c r="D224" t="str">
        <f>IF(D105="","",SUM(D$6:D105))</f>
        <v/>
      </c>
      <c r="E224" t="str">
        <f>IF(E105="","",SUM(E$6:E105))</f>
        <v/>
      </c>
      <c r="F224" t="str">
        <f>IF(F105="","",SUM(F$6:F105))</f>
        <v/>
      </c>
      <c r="G224" t="str">
        <f>IF(G105="","",SUM(G$6:G105))</f>
        <v/>
      </c>
      <c r="H224" t="str">
        <f>IF(H105="","",SUM(H$6:H105))</f>
        <v/>
      </c>
      <c r="I224" t="str">
        <f>IF(I105="","",SUM(I$6:I105))</f>
        <v/>
      </c>
      <c r="J224" t="str">
        <f>IF(J105="","",SUM(J$6:J105))</f>
        <v/>
      </c>
      <c r="K224" t="str">
        <f>IF(K105="","",SUM(K$6:K105))</f>
        <v/>
      </c>
      <c r="L224" t="str">
        <f>IF(L105="","",SUM(L$6:L105))</f>
        <v/>
      </c>
      <c r="M224" t="str">
        <f>IF(M105="","",SUM(M$6:M105))</f>
        <v/>
      </c>
      <c r="N224">
        <f>IF(N105="","",SUM(N$6:N105))</f>
        <v>41361</v>
      </c>
      <c r="O224">
        <f>IF(O105="","",SUM(O$6:O105))</f>
        <v>60334</v>
      </c>
      <c r="P224" t="str">
        <f>IF(P105="","",SUM(P$6:P105))</f>
        <v/>
      </c>
      <c r="Q224">
        <f>IF(Q105="","",SUM(Q$6:Q105))</f>
        <v>89720</v>
      </c>
      <c r="R224">
        <f>IF(R105="","",SUM(R$6:R105))</f>
        <v>43096</v>
      </c>
      <c r="S224" t="str">
        <f>IF(S105="","",SUM(S$6:S105))</f>
        <v/>
      </c>
      <c r="T224">
        <f>IF(T105="","",SUM(T$6:T105))</f>
        <v>81737</v>
      </c>
      <c r="U224">
        <f>IF(U105="","",SUM(U$6:U105))</f>
        <v>58279</v>
      </c>
      <c r="V224" t="str">
        <f>IF(V105="","",SUM(V$6:V105))</f>
        <v/>
      </c>
      <c r="W224" t="str">
        <f>IF(W105="","",SUM(W$6:W105))</f>
        <v/>
      </c>
      <c r="X224" t="str">
        <f>IF(X105="","",SUM(X$6:X105))</f>
        <v/>
      </c>
      <c r="Y224" t="str">
        <f>IF(Y105="","",SUM(Y$6:Y105))</f>
        <v/>
      </c>
      <c r="Z224">
        <f>IF(Z105="","",SUM(Z$6:Z105))</f>
        <v>62459</v>
      </c>
      <c r="AA224" t="str">
        <f>IF(AA105="","",SUM(AA$6:AA105))</f>
        <v/>
      </c>
      <c r="AB224" t="str">
        <f>IF(AB105="","",SUM(AB$6:AB105))</f>
        <v/>
      </c>
      <c r="AC224" t="str">
        <f>IF(AC105="","",SUM(AC$6:AC105))</f>
        <v/>
      </c>
      <c r="AD224">
        <f>IF(AD105="","",SUM(AD$6:AD105))</f>
        <v>55181</v>
      </c>
      <c r="AE224">
        <f>IF(AE105="","",SUM(AE$6:AE105))</f>
        <v>89280</v>
      </c>
      <c r="AF224" t="str">
        <f>IF(AF105="","",SUM(AF$6:AF105))</f>
        <v/>
      </c>
      <c r="AG224">
        <f>IF(AG105="","",SUM(AG$6:AG105))</f>
        <v>70748</v>
      </c>
      <c r="AH224">
        <f>IF(AH105="","",SUM(AH$6:AH105))</f>
        <v>63343</v>
      </c>
      <c r="AI224">
        <f>IF(AI105="","",SUM(AI$6:AI105))</f>
        <v>115856</v>
      </c>
    </row>
    <row r="225" spans="1:35" x14ac:dyDescent="0.3">
      <c r="A225" s="3">
        <v>221</v>
      </c>
      <c r="B225">
        <f>IF(B106="","",SUM(B$6:B106))</f>
        <v>45749</v>
      </c>
      <c r="C225">
        <f>IF(C106="","",SUM(C$6:C106))</f>
        <v>82883</v>
      </c>
      <c r="D225" t="str">
        <f>IF(D106="","",SUM(D$6:D106))</f>
        <v/>
      </c>
      <c r="E225" t="str">
        <f>IF(E106="","",SUM(E$6:E106))</f>
        <v/>
      </c>
      <c r="F225" t="str">
        <f>IF(F106="","",SUM(F$6:F106))</f>
        <v/>
      </c>
      <c r="G225" t="str">
        <f>IF(G106="","",SUM(G$6:G106))</f>
        <v/>
      </c>
      <c r="H225" t="str">
        <f>IF(H106="","",SUM(H$6:H106))</f>
        <v/>
      </c>
      <c r="I225" t="str">
        <f>IF(I106="","",SUM(I$6:I106))</f>
        <v/>
      </c>
      <c r="J225" t="str">
        <f>IF(J106="","",SUM(J$6:J106))</f>
        <v/>
      </c>
      <c r="K225" t="str">
        <f>IF(K106="","",SUM(K$6:K106))</f>
        <v/>
      </c>
      <c r="L225" t="str">
        <f>IF(L106="","",SUM(L$6:L106))</f>
        <v/>
      </c>
      <c r="M225" t="str">
        <f>IF(M106="","",SUM(M$6:M106))</f>
        <v/>
      </c>
      <c r="N225">
        <f>IF(N106="","",SUM(N$6:N106))</f>
        <v>41554</v>
      </c>
      <c r="O225" t="str">
        <f>IF(O106="","",SUM(O$6:O106))</f>
        <v/>
      </c>
      <c r="P225" t="str">
        <f>IF(P106="","",SUM(P$6:P106))</f>
        <v/>
      </c>
      <c r="Q225" t="str">
        <f>IF(Q106="","",SUM(Q$6:Q106))</f>
        <v/>
      </c>
      <c r="R225">
        <f>IF(R106="","",SUM(R$6:R106))</f>
        <v>43278</v>
      </c>
      <c r="S225" t="str">
        <f>IF(S106="","",SUM(S$6:S106))</f>
        <v/>
      </c>
      <c r="T225">
        <f>IF(T106="","",SUM(T$6:T106))</f>
        <v>82229</v>
      </c>
      <c r="U225">
        <f>IF(U106="","",SUM(U$6:U106))</f>
        <v>59164</v>
      </c>
      <c r="V225" t="str">
        <f>IF(V106="","",SUM(V$6:V106))</f>
        <v/>
      </c>
      <c r="W225" t="str">
        <f>IF(W106="","",SUM(W$6:W106))</f>
        <v/>
      </c>
      <c r="X225" t="str">
        <f>IF(X106="","",SUM(X$6:X106))</f>
        <v/>
      </c>
      <c r="Y225" t="str">
        <f>IF(Y106="","",SUM(Y$6:Y106))</f>
        <v/>
      </c>
      <c r="Z225" t="str">
        <f>IF(Z106="","",SUM(Z$6:Z106))</f>
        <v/>
      </c>
      <c r="AA225" t="str">
        <f>IF(AA106="","",SUM(AA$6:AA106))</f>
        <v/>
      </c>
      <c r="AB225" t="str">
        <f>IF(AB106="","",SUM(AB$6:AB106))</f>
        <v/>
      </c>
      <c r="AC225" t="str">
        <f>IF(AC106="","",SUM(AC$6:AC106))</f>
        <v/>
      </c>
      <c r="AD225">
        <f>IF(AD106="","",SUM(AD$6:AD106))</f>
        <v>55614</v>
      </c>
      <c r="AE225">
        <f>IF(AE106="","",SUM(AE$6:AE106))</f>
        <v>90244</v>
      </c>
      <c r="AF225" t="str">
        <f>IF(AF106="","",SUM(AF$6:AF106))</f>
        <v/>
      </c>
      <c r="AG225">
        <f>IF(AG106="","",SUM(AG$6:AG106))</f>
        <v>71954</v>
      </c>
      <c r="AH225" t="str">
        <f>IF(AH106="","",SUM(AH$6:AH106))</f>
        <v/>
      </c>
      <c r="AI225">
        <f>IF(AI106="","",SUM(AI$6:AI106))</f>
        <v>118209</v>
      </c>
    </row>
    <row r="226" spans="1:35" x14ac:dyDescent="0.3">
      <c r="A226" s="3">
        <v>222</v>
      </c>
      <c r="B226">
        <f>IF(B107="","",SUM(B$6:B107))</f>
        <v>45764</v>
      </c>
      <c r="C226">
        <f>IF(C107="","",SUM(C$6:C107))</f>
        <v>83125</v>
      </c>
      <c r="D226" t="str">
        <f>IF(D107="","",SUM(D$6:D107))</f>
        <v/>
      </c>
      <c r="E226" t="str">
        <f>IF(E107="","",SUM(E$6:E107))</f>
        <v/>
      </c>
      <c r="F226" t="str">
        <f>IF(F107="","",SUM(F$6:F107))</f>
        <v/>
      </c>
      <c r="G226" t="str">
        <f>IF(G107="","",SUM(G$6:G107))</f>
        <v/>
      </c>
      <c r="H226" t="str">
        <f>IF(H107="","",SUM(H$6:H107))</f>
        <v/>
      </c>
      <c r="I226" t="str">
        <f>IF(I107="","",SUM(I$6:I107))</f>
        <v/>
      </c>
      <c r="J226" t="str">
        <f>IF(J107="","",SUM(J$6:J107))</f>
        <v/>
      </c>
      <c r="K226" t="str">
        <f>IF(K107="","",SUM(K$6:K107))</f>
        <v/>
      </c>
      <c r="L226" t="str">
        <f>IF(L107="","",SUM(L$6:L107))</f>
        <v/>
      </c>
      <c r="M226" t="str">
        <f>IF(M107="","",SUM(M$6:M107))</f>
        <v/>
      </c>
      <c r="N226" t="str">
        <f>IF(N107="","",SUM(N$6:N107))</f>
        <v/>
      </c>
      <c r="O226" t="str">
        <f>IF(O107="","",SUM(O$6:O107))</f>
        <v/>
      </c>
      <c r="P226" t="str">
        <f>IF(P107="","",SUM(P$6:P107))</f>
        <v/>
      </c>
      <c r="Q226" t="str">
        <f>IF(Q107="","",SUM(Q$6:Q107))</f>
        <v/>
      </c>
      <c r="R226" t="str">
        <f>IF(R107="","",SUM(R$6:R107))</f>
        <v/>
      </c>
      <c r="S226" t="str">
        <f>IF(S107="","",SUM(S$6:S107))</f>
        <v/>
      </c>
      <c r="T226">
        <f>IF(T107="","",SUM(T$6:T107))</f>
        <v>82639</v>
      </c>
      <c r="U226">
        <f>IF(U107="","",SUM(U$6:U107))</f>
        <v>60181</v>
      </c>
      <c r="V226" t="str">
        <f>IF(V107="","",SUM(V$6:V107))</f>
        <v/>
      </c>
      <c r="W226" t="str">
        <f>IF(W107="","",SUM(W$6:W107))</f>
        <v/>
      </c>
      <c r="X226" t="str">
        <f>IF(X107="","",SUM(X$6:X107))</f>
        <v/>
      </c>
      <c r="Y226" t="str">
        <f>IF(Y107="","",SUM(Y$6:Y107))</f>
        <v/>
      </c>
      <c r="Z226" t="str">
        <f>IF(Z107="","",SUM(Z$6:Z107))</f>
        <v/>
      </c>
      <c r="AA226" t="str">
        <f>IF(AA107="","",SUM(AA$6:AA107))</f>
        <v/>
      </c>
      <c r="AB226" t="str">
        <f>IF(AB107="","",SUM(AB$6:AB107))</f>
        <v/>
      </c>
      <c r="AC226" t="str">
        <f>IF(AC107="","",SUM(AC$6:AC107))</f>
        <v/>
      </c>
      <c r="AD226">
        <f>IF(AD107="","",SUM(AD$6:AD107))</f>
        <v>56007</v>
      </c>
      <c r="AE226">
        <f>IF(AE107="","",SUM(AE$6:AE107))</f>
        <v>91092</v>
      </c>
      <c r="AF226" t="str">
        <f>IF(AF107="","",SUM(AF$6:AF107))</f>
        <v/>
      </c>
      <c r="AG226">
        <f>IF(AG107="","",SUM(AG$6:AG107))</f>
        <v>72530</v>
      </c>
      <c r="AH226" t="str">
        <f>IF(AH107="","",SUM(AH$6:AH107))</f>
        <v/>
      </c>
      <c r="AI226" t="str">
        <f>IF(AI107="","",SUM(AI$6:AI107))</f>
        <v/>
      </c>
    </row>
    <row r="227" spans="1:35" x14ac:dyDescent="0.3">
      <c r="A227" s="3">
        <v>223</v>
      </c>
      <c r="B227">
        <f>IF(B108="","",SUM(B$6:B108))</f>
        <v>45808</v>
      </c>
      <c r="C227">
        <f>IF(C108="","",SUM(C$6:C108))</f>
        <v>83338</v>
      </c>
      <c r="D227" t="str">
        <f>IF(D108="","",SUM(D$6:D108))</f>
        <v/>
      </c>
      <c r="E227" t="str">
        <f>IF(E108="","",SUM(E$6:E108))</f>
        <v/>
      </c>
      <c r="F227" t="str">
        <f>IF(F108="","",SUM(F$6:F108))</f>
        <v/>
      </c>
      <c r="G227" t="str">
        <f>IF(G108="","",SUM(G$6:G108))</f>
        <v/>
      </c>
      <c r="H227" t="str">
        <f>IF(H108="","",SUM(H$6:H108))</f>
        <v/>
      </c>
      <c r="I227" t="str">
        <f>IF(I108="","",SUM(I$6:I108))</f>
        <v/>
      </c>
      <c r="J227" t="str">
        <f>IF(J108="","",SUM(J$6:J108))</f>
        <v/>
      </c>
      <c r="K227" t="str">
        <f>IF(K108="","",SUM(K$6:K108))</f>
        <v/>
      </c>
      <c r="L227" t="str">
        <f>IF(L108="","",SUM(L$6:L108))</f>
        <v/>
      </c>
      <c r="M227" t="str">
        <f>IF(M108="","",SUM(M$6:M108))</f>
        <v/>
      </c>
      <c r="N227" t="str">
        <f>IF(N108="","",SUM(N$6:N108))</f>
        <v/>
      </c>
      <c r="O227" t="str">
        <f>IF(O108="","",SUM(O$6:O108))</f>
        <v/>
      </c>
      <c r="P227" t="str">
        <f>IF(P108="","",SUM(P$6:P108))</f>
        <v/>
      </c>
      <c r="Q227" t="str">
        <f>IF(Q108="","",SUM(Q$6:Q108))</f>
        <v/>
      </c>
      <c r="R227" t="str">
        <f>IF(R108="","",SUM(R$6:R108))</f>
        <v/>
      </c>
      <c r="S227" t="str">
        <f>IF(S108="","",SUM(S$6:S108))</f>
        <v/>
      </c>
      <c r="T227">
        <f>IF(T108="","",SUM(T$6:T108))</f>
        <v>83144</v>
      </c>
      <c r="U227">
        <f>IF(U108="","",SUM(U$6:U108))</f>
        <v>60511</v>
      </c>
      <c r="V227" t="str">
        <f>IF(V108="","",SUM(V$6:V108))</f>
        <v/>
      </c>
      <c r="W227" t="str">
        <f>IF(W108="","",SUM(W$6:W108))</f>
        <v/>
      </c>
      <c r="X227" t="str">
        <f>IF(X108="","",SUM(X$6:X108))</f>
        <v/>
      </c>
      <c r="Z227" t="str">
        <f>IF(Z108="","",SUM(Z$6:Z108))</f>
        <v/>
      </c>
      <c r="AA227" t="str">
        <f>IF(AA108="","",SUM(AA$6:AA108))</f>
        <v/>
      </c>
      <c r="AB227" t="str">
        <f>IF(AB108="","",SUM(AB$6:AB108))</f>
        <v/>
      </c>
      <c r="AC227" t="str">
        <f>IF(AC108="","",SUM(AC$6:AC108))</f>
        <v/>
      </c>
      <c r="AD227">
        <f>IF(AD108="","",SUM(AD$6:AD108))</f>
        <v>56466</v>
      </c>
      <c r="AE227" t="str">
        <f>IF(AE108="","",SUM(AE$6:AE108))</f>
        <v/>
      </c>
      <c r="AF227" t="str">
        <f>IF(AF108="","",SUM(AF$6:AF108))</f>
        <v/>
      </c>
      <c r="AG227" t="str">
        <f>IF(AG108="","",SUM(AG$6:AG108))</f>
        <v/>
      </c>
      <c r="AH227" t="str">
        <f>IF(AH108="","",SUM(AH$6:AH108))</f>
        <v/>
      </c>
      <c r="AI227" t="str">
        <f>IF(AI108="","",SUM(AI$6:AI108))</f>
        <v/>
      </c>
    </row>
    <row r="228" spans="1:35" x14ac:dyDescent="0.3">
      <c r="A228" s="3">
        <v>224</v>
      </c>
      <c r="B228">
        <f>IF(B109="","",SUM(B$6:B109))</f>
        <v>45872</v>
      </c>
      <c r="C228">
        <f>IF(C109="","",SUM(C$6:C109))</f>
        <v>83405</v>
      </c>
      <c r="D228" t="str">
        <f>IF(D109="","",SUM(D$6:D109))</f>
        <v/>
      </c>
      <c r="E228" t="str">
        <f>IF(E109="","",SUM(E$6:E109))</f>
        <v/>
      </c>
      <c r="F228" t="str">
        <f>IF(F109="","",SUM(F$6:F109))</f>
        <v/>
      </c>
      <c r="G228" t="str">
        <f>IF(G109="","",SUM(G$6:G109))</f>
        <v/>
      </c>
      <c r="H228" t="str">
        <f>IF(H109="","",SUM(H$6:H109))</f>
        <v/>
      </c>
      <c r="I228" t="str">
        <f>IF(I109="","",SUM(I$6:I109))</f>
        <v/>
      </c>
      <c r="J228" t="str">
        <f>IF(J109="","",SUM(J$6:J109))</f>
        <v/>
      </c>
      <c r="K228" t="str">
        <f>IF(K109="","",SUM(K$6:K109))</f>
        <v/>
      </c>
      <c r="L228" t="str">
        <f>IF(L109="","",SUM(L$6:L109))</f>
        <v/>
      </c>
      <c r="M228" t="str">
        <f>IF(M109="","",SUM(M$6:M109))</f>
        <v/>
      </c>
      <c r="N228" t="str">
        <f>IF(N109="","",SUM(N$6:N109))</f>
        <v/>
      </c>
      <c r="O228" t="str">
        <f>IF(O109="","",SUM(O$6:O109))</f>
        <v/>
      </c>
      <c r="P228" t="str">
        <f>IF(P109="","",SUM(P$6:P109))</f>
        <v/>
      </c>
      <c r="Q228" t="str">
        <f>IF(Q109="","",SUM(Q$6:Q109))</f>
        <v/>
      </c>
      <c r="R228" t="str">
        <f>IF(R109="","",SUM(R$6:R109))</f>
        <v/>
      </c>
      <c r="S228" t="str">
        <f>IF(S109="","",SUM(S$6:S109))</f>
        <v/>
      </c>
      <c r="T228">
        <f>IF(T109="","",SUM(T$6:T109))</f>
        <v>85258</v>
      </c>
      <c r="U228">
        <f>IF(U109="","",SUM(U$6:U109))</f>
        <v>61543</v>
      </c>
      <c r="V228" t="str">
        <f>IF(V109="","",SUM(V$6:V109))</f>
        <v/>
      </c>
      <c r="W228" t="str">
        <f>IF(W109="","",SUM(W$6:W109))</f>
        <v/>
      </c>
      <c r="X228" t="str">
        <f>IF(X109="","",SUM(X$6:X109))</f>
        <v/>
      </c>
      <c r="Z228" t="str">
        <f>IF(Z109="","",SUM(Z$6:Z109))</f>
        <v/>
      </c>
      <c r="AA228" t="str">
        <f>IF(AA109="","",SUM(AA$6:AA109))</f>
        <v/>
      </c>
      <c r="AB228" t="str">
        <f>IF(AB109="","",SUM(AB$6:AB109))</f>
        <v/>
      </c>
      <c r="AC228" t="str">
        <f>IF(AC109="","",SUM(AC$6:AC109))</f>
        <v/>
      </c>
      <c r="AD228">
        <f>IF(AD109="","",SUM(AD$6:AD109))</f>
        <v>56738</v>
      </c>
      <c r="AF228" t="str">
        <f>IF(AF109="","",SUM(AF$6:AF109))</f>
        <v/>
      </c>
      <c r="AG228" t="str">
        <f>IF(AG109="","",SUM(AG$6:AG109))</f>
        <v/>
      </c>
      <c r="AH228" t="str">
        <f>IF(AH109="","",SUM(AH$6:AH109))</f>
        <v/>
      </c>
      <c r="AI228" t="str">
        <f>IF(AI109="","",SUM(AI$6:AI109))</f>
        <v/>
      </c>
    </row>
    <row r="229" spans="1:35" x14ac:dyDescent="0.3">
      <c r="A229" s="3">
        <v>225</v>
      </c>
      <c r="B229">
        <f>IF(B110="","",SUM(B$6:B110))</f>
        <v>45953</v>
      </c>
      <c r="C229">
        <f>IF(C110="","",SUM(C$6:C110))</f>
        <v>83737</v>
      </c>
      <c r="D229" t="str">
        <f>IF(D110="","",SUM(D$6:D110))</f>
        <v/>
      </c>
      <c r="E229" t="str">
        <f>IF(E110="","",SUM(E$6:E110))</f>
        <v/>
      </c>
      <c r="F229" t="str">
        <f>IF(F110="","",SUM(F$6:F110))</f>
        <v/>
      </c>
      <c r="G229" t="str">
        <f>IF(G110="","",SUM(G$6:G110))</f>
        <v/>
      </c>
      <c r="H229" t="str">
        <f>IF(H110="","",SUM(H$6:H110))</f>
        <v/>
      </c>
      <c r="I229" t="str">
        <f>IF(I110="","",SUM(I$6:I110))</f>
        <v/>
      </c>
      <c r="J229" t="str">
        <f>IF(J110="","",SUM(J$6:J110))</f>
        <v/>
      </c>
      <c r="K229" t="str">
        <f>IF(K110="","",SUM(K$6:K110))</f>
        <v/>
      </c>
      <c r="L229" t="str">
        <f>IF(L110="","",SUM(L$6:L110))</f>
        <v/>
      </c>
      <c r="M229" t="str">
        <f>IF(M110="","",SUM(M$6:M110))</f>
        <v/>
      </c>
      <c r="N229" t="str">
        <f>IF(N110="","",SUM(N$6:N110))</f>
        <v/>
      </c>
      <c r="O229" t="str">
        <f>IF(O110="","",SUM(O$6:O110))</f>
        <v/>
      </c>
      <c r="P229" t="str">
        <f>IF(P110="","",SUM(P$6:P110))</f>
        <v/>
      </c>
      <c r="Q229" t="str">
        <f>IF(Q110="","",SUM(Q$6:Q110))</f>
        <v/>
      </c>
      <c r="R229" t="str">
        <f>IF(R110="","",SUM(R$6:R110))</f>
        <v/>
      </c>
      <c r="S229" t="str">
        <f>IF(S110="","",SUM(S$6:S110))</f>
        <v/>
      </c>
      <c r="T229">
        <f>IF(T110="","",SUM(T$6:T110))</f>
        <v>89059</v>
      </c>
      <c r="U229">
        <f>IF(U110="","",SUM(U$6:U110))</f>
        <v>61799</v>
      </c>
      <c r="V229" t="str">
        <f>IF(V110="","",SUM(V$6:V110))</f>
        <v/>
      </c>
      <c r="W229" t="str">
        <f>IF(W110="","",SUM(W$6:W110))</f>
        <v/>
      </c>
      <c r="X229" t="str">
        <f>IF(X110="","",SUM(X$6:X110))</f>
        <v/>
      </c>
      <c r="Z229" t="str">
        <f>IF(Z110="","",SUM(Z$6:Z110))</f>
        <v/>
      </c>
      <c r="AB229" t="str">
        <f>IF(AB110="","",SUM(AB$6:AB110))</f>
        <v/>
      </c>
      <c r="AC229" t="str">
        <f>IF(AC110="","",SUM(AC$6:AC110))</f>
        <v/>
      </c>
      <c r="AD229" t="str">
        <f>IF(AD110="","",SUM(AD$6:AD110))</f>
        <v/>
      </c>
      <c r="AF229" t="str">
        <f>IF(AF110="","",SUM(AF$6:AF110))</f>
        <v/>
      </c>
      <c r="AG229" t="str">
        <f>IF(AG110="","",SUM(AG$6:AG110))</f>
        <v/>
      </c>
      <c r="AH229" t="str">
        <f>IF(AH110="","",SUM(AH$6:AH110))</f>
        <v/>
      </c>
      <c r="AI229" t="str">
        <f>IF(AI110="","",SUM(AI$6:AI110))</f>
        <v/>
      </c>
    </row>
    <row r="230" spans="1:35" x14ac:dyDescent="0.3">
      <c r="A230" s="3">
        <v>226</v>
      </c>
      <c r="B230">
        <f>IF(B111="","",SUM(B$6:B111))</f>
        <v>46009</v>
      </c>
      <c r="C230">
        <f>IF(C111="","",SUM(C$6:C111))</f>
        <v>83911</v>
      </c>
      <c r="D230" t="str">
        <f>IF(D111="","",SUM(D$6:D111))</f>
        <v/>
      </c>
      <c r="E230" t="str">
        <f>IF(E111="","",SUM(E$6:E111))</f>
        <v/>
      </c>
      <c r="F230" t="str">
        <f>IF(F111="","",SUM(F$6:F111))</f>
        <v/>
      </c>
      <c r="G230" t="str">
        <f>IF(G111="","",SUM(G$6:G111))</f>
        <v/>
      </c>
      <c r="H230" t="str">
        <f>IF(H111="","",SUM(H$6:H111))</f>
        <v/>
      </c>
      <c r="I230" t="str">
        <f>IF(I111="","",SUM(I$6:I111))</f>
        <v/>
      </c>
      <c r="J230" t="str">
        <f>IF(J111="","",SUM(J$6:J111))</f>
        <v/>
      </c>
      <c r="K230" t="str">
        <f>IF(K111="","",SUM(K$6:K111))</f>
        <v/>
      </c>
      <c r="L230" t="str">
        <f>IF(L111="","",SUM(L$6:L111))</f>
        <v/>
      </c>
      <c r="M230" t="str">
        <f>IF(M111="","",SUM(M$6:M111))</f>
        <v/>
      </c>
      <c r="N230" t="str">
        <f>IF(N111="","",SUM(N$6:N111))</f>
        <v/>
      </c>
      <c r="O230" t="str">
        <f>IF(O111="","",SUM(O$6:O111))</f>
        <v/>
      </c>
      <c r="P230" t="str">
        <f>IF(P111="","",SUM(P$6:P111))</f>
        <v/>
      </c>
      <c r="Q230" t="str">
        <f>IF(Q111="","",SUM(Q$6:Q111))</f>
        <v/>
      </c>
      <c r="R230" t="str">
        <f>IF(R111="","",SUM(R$6:R111))</f>
        <v/>
      </c>
      <c r="S230" t="str">
        <f>IF(S111="","",SUM(S$6:S111))</f>
        <v/>
      </c>
      <c r="T230">
        <f>IF(T111="","",SUM(T$6:T111))</f>
        <v>89673</v>
      </c>
      <c r="U230" t="str">
        <f>IF(U111="","",SUM(U$6:U111))</f>
        <v/>
      </c>
      <c r="V230" t="str">
        <f>IF(V111="","",SUM(V$6:V111))</f>
        <v/>
      </c>
      <c r="W230" t="str">
        <f>IF(W111="","",SUM(W$6:W111))</f>
        <v/>
      </c>
      <c r="X230" t="str">
        <f>IF(X111="","",SUM(X$6:X111))</f>
        <v/>
      </c>
      <c r="Z230" t="str">
        <f>IF(Z111="","",SUM(Z$6:Z111))</f>
        <v/>
      </c>
      <c r="AB230" t="str">
        <f>IF(AB111="","",SUM(AB$6:AB111))</f>
        <v/>
      </c>
      <c r="AD230" t="str">
        <f>IF(AD111="","",SUM(AD$6:AD111))</f>
        <v/>
      </c>
      <c r="AI230" t="str">
        <f>IF(AI111="","",SUM(AI$6:AI111))</f>
        <v/>
      </c>
    </row>
    <row r="231" spans="1:35" x14ac:dyDescent="0.3">
      <c r="A231" s="3">
        <v>227</v>
      </c>
      <c r="B231">
        <f>IF(B112="","",SUM(B$6:B112))</f>
        <v>46132</v>
      </c>
      <c r="C231">
        <f>IF(C112="","",SUM(C$6:C112))</f>
        <v>84138</v>
      </c>
      <c r="D231" t="str">
        <f>IF(D112="","",SUM(D$6:D112))</f>
        <v/>
      </c>
      <c r="E231" t="str">
        <f>IF(E112="","",SUM(E$6:E112))</f>
        <v/>
      </c>
      <c r="F231" t="str">
        <f>IF(F112="","",SUM(F$6:F112))</f>
        <v/>
      </c>
      <c r="G231" t="str">
        <f>IF(G112="","",SUM(G$6:G112))</f>
        <v/>
      </c>
      <c r="H231" t="str">
        <f>IF(H112="","",SUM(H$6:H112))</f>
        <v/>
      </c>
      <c r="I231" t="str">
        <f>IF(I112="","",SUM(I$6:I112))</f>
        <v/>
      </c>
      <c r="J231" t="str">
        <f>IF(J112="","",SUM(J$6:J112))</f>
        <v/>
      </c>
      <c r="L231" t="str">
        <f>IF(L112="","",SUM(L$6:L112))</f>
        <v/>
      </c>
      <c r="M231" t="str">
        <f>IF(M112="","",SUM(M$6:M112))</f>
        <v/>
      </c>
      <c r="N231" t="str">
        <f>IF(N112="","",SUM(N$6:N112))</f>
        <v/>
      </c>
      <c r="O231" t="str">
        <f>IF(O112="","",SUM(O$6:O112))</f>
        <v/>
      </c>
      <c r="P231" t="str">
        <f>IF(P112="","",SUM(P$6:P112))</f>
        <v/>
      </c>
      <c r="R231" t="str">
        <f>IF(R112="","",SUM(R$6:R112))</f>
        <v/>
      </c>
      <c r="S231" t="str">
        <f>IF(S112="","",SUM(S$6:S112))</f>
        <v/>
      </c>
      <c r="T231">
        <f>IF(T112="","",SUM(T$6:T112))</f>
        <v>90351</v>
      </c>
      <c r="U231" t="str">
        <f>IF(U112="","",SUM(U$6:U112))</f>
        <v/>
      </c>
      <c r="V231" t="str">
        <f>IF(V112="","",SUM(V$6:V112))</f>
        <v/>
      </c>
      <c r="W231" t="str">
        <f>IF(W112="","",SUM(W$6:W112))</f>
        <v/>
      </c>
      <c r="X231" t="str">
        <f>IF(X112="","",SUM(X$6:X112))</f>
        <v/>
      </c>
      <c r="Z231" t="str">
        <f>IF(Z112="","",SUM(Z$6:Z112))</f>
        <v/>
      </c>
      <c r="AI231" t="str">
        <f>IF(AI112="","",SUM(AI$6:AI112))</f>
        <v/>
      </c>
    </row>
    <row r="232" spans="1:35" x14ac:dyDescent="0.3">
      <c r="A232" s="3">
        <v>228</v>
      </c>
      <c r="B232">
        <f>IF(B113="","",SUM(B$6:B113))</f>
        <v>46230</v>
      </c>
      <c r="C232">
        <f>IF(C113="","",SUM(C$6:C113))</f>
        <v>84372</v>
      </c>
      <c r="D232" t="str">
        <f>IF(D113="","",SUM(D$6:D113))</f>
        <v/>
      </c>
      <c r="E232" t="str">
        <f>IF(E113="","",SUM(E$6:E113))</f>
        <v/>
      </c>
      <c r="F232" t="str">
        <f>IF(F113="","",SUM(F$6:F113))</f>
        <v/>
      </c>
      <c r="G232" t="str">
        <f>IF(G113="","",SUM(G$6:G113))</f>
        <v/>
      </c>
      <c r="H232" t="str">
        <f>IF(H113="","",SUM(H$6:H113))</f>
        <v/>
      </c>
      <c r="I232" t="str">
        <f>IF(I113="","",SUM(I$6:I113))</f>
        <v/>
      </c>
      <c r="J232" t="str">
        <f>IF(J113="","",SUM(J$6:J113))</f>
        <v/>
      </c>
      <c r="L232" t="str">
        <f>IF(L113="","",SUM(L$6:L113))</f>
        <v/>
      </c>
      <c r="M232" t="str">
        <f>IF(M113="","",SUM(M$6:M113))</f>
        <v/>
      </c>
      <c r="N232" t="str">
        <f>IF(N113="","",SUM(N$6:N113))</f>
        <v/>
      </c>
      <c r="O232" t="str">
        <f>IF(O113="","",SUM(O$6:O113))</f>
        <v/>
      </c>
      <c r="P232" t="str">
        <f>IF(P113="","",SUM(P$6:P113))</f>
        <v/>
      </c>
      <c r="R232" t="str">
        <f>IF(R113="","",SUM(R$6:R113))</f>
        <v/>
      </c>
      <c r="S232" t="str">
        <f>IF(S113="","",SUM(S$6:S113))</f>
        <v/>
      </c>
      <c r="T232" t="str">
        <f>IF(T113="","",SUM(T$6:T113))</f>
        <v/>
      </c>
      <c r="U232" t="str">
        <f>IF(U113="","",SUM(U$6:U113))</f>
        <v/>
      </c>
      <c r="V232" t="str">
        <f>IF(V113="","",SUM(V$6:V113))</f>
        <v/>
      </c>
      <c r="X232" t="str">
        <f>IF(X113="","",SUM(X$6:X113))</f>
        <v/>
      </c>
      <c r="Z232" t="str">
        <f>IF(Z113="","",SUM(Z$6:Z113))</f>
        <v/>
      </c>
      <c r="AI232" t="str">
        <f>IF(AI113="","",SUM(AI$6:AI113))</f>
        <v/>
      </c>
    </row>
    <row r="233" spans="1:35" x14ac:dyDescent="0.3">
      <c r="A233" s="3">
        <v>229</v>
      </c>
      <c r="B233">
        <f>IF(B114="","",SUM(B$6:B114))</f>
        <v>46280</v>
      </c>
      <c r="C233">
        <f>IF(C114="","",SUM(C$6:C114))</f>
        <v>84383</v>
      </c>
      <c r="D233" t="str">
        <f>IF(D114="","",SUM(D$6:D114))</f>
        <v/>
      </c>
      <c r="E233" t="str">
        <f>IF(E114="","",SUM(E$6:E114))</f>
        <v/>
      </c>
      <c r="F233" t="str">
        <f>IF(F114="","",SUM(F$6:F114))</f>
        <v/>
      </c>
      <c r="G233" t="str">
        <f>IF(G114="","",SUM(G$6:G114))</f>
        <v/>
      </c>
      <c r="H233" t="str">
        <f>IF(H114="","",SUM(H$6:H114))</f>
        <v/>
      </c>
      <c r="L233" t="str">
        <f>IF(L114="","",SUM(L$6:L114))</f>
        <v/>
      </c>
      <c r="M233" t="str">
        <f>IF(M114="","",SUM(M$6:M114))</f>
        <v/>
      </c>
      <c r="N233" t="str">
        <f>IF(N114="","",SUM(N$6:N114))</f>
        <v/>
      </c>
      <c r="O233" t="str">
        <f>IF(O114="","",SUM(O$6:O114))</f>
        <v/>
      </c>
      <c r="R233" t="str">
        <f>IF(R114="","",SUM(R$6:R114))</f>
        <v/>
      </c>
      <c r="S233" t="str">
        <f>IF(S114="","",SUM(S$6:S114))</f>
        <v/>
      </c>
      <c r="T233" t="str">
        <f>IF(T114="","",SUM(T$6:T114))</f>
        <v/>
      </c>
      <c r="U233" t="str">
        <f>IF(U114="","",SUM(U$6:U114))</f>
        <v/>
      </c>
      <c r="V233" t="str">
        <f>IF(V114="","",SUM(V$6:V114))</f>
        <v/>
      </c>
      <c r="X233" t="str">
        <f>IF(X114="","",SUM(X$6:X114))</f>
        <v/>
      </c>
      <c r="Z233" t="str">
        <f>IF(Z114="","",SUM(Z$6:Z114))</f>
        <v/>
      </c>
    </row>
    <row r="234" spans="1:35" x14ac:dyDescent="0.3">
      <c r="A234" s="3">
        <v>230</v>
      </c>
      <c r="B234">
        <f>IF(B115="","",SUM(B$6:B115))</f>
        <v>46318</v>
      </c>
      <c r="C234" t="str">
        <f>IF(C115="","",SUM(C$6:C115))</f>
        <v/>
      </c>
      <c r="D234" t="str">
        <f>IF(D115="","",SUM(D$6:D115))</f>
        <v/>
      </c>
      <c r="E234" t="str">
        <f>IF(E115="","",SUM(E$6:E115))</f>
        <v/>
      </c>
      <c r="F234" t="str">
        <f>IF(F115="","",SUM(F$6:F115))</f>
        <v/>
      </c>
      <c r="G234" t="str">
        <f>IF(G115="","",SUM(G$6:G115))</f>
        <v/>
      </c>
      <c r="H234" t="str">
        <f>IF(H115="","",SUM(H$6:H115))</f>
        <v/>
      </c>
      <c r="L234" t="str">
        <f>IF(L115="","",SUM(L$6:L115))</f>
        <v/>
      </c>
      <c r="M234" t="str">
        <f>IF(M115="","",SUM(M$6:M115))</f>
        <v/>
      </c>
      <c r="T234" t="str">
        <f>IF(T115="","",SUM(T$6:T115))</f>
        <v/>
      </c>
      <c r="X234" t="str">
        <f>IF(X115="","",SUM(X$6:X115))</f>
        <v/>
      </c>
    </row>
    <row r="235" spans="1:35" x14ac:dyDescent="0.3">
      <c r="A235" s="3">
        <v>231</v>
      </c>
      <c r="B235">
        <f>IF(B116="","",SUM(B$6:B116))</f>
        <v>46348</v>
      </c>
      <c r="C235" t="str">
        <f>IF(C116="","",SUM(C$6:C116))</f>
        <v/>
      </c>
      <c r="D235" t="str">
        <f>IF(D116="","",SUM(D$6:D116))</f>
        <v/>
      </c>
      <c r="E235" t="str">
        <f>IF(E116="","",SUM(E$6:E116))</f>
        <v/>
      </c>
      <c r="F235" t="str">
        <f>IF(F116="","",SUM(F$6:F116))</f>
        <v/>
      </c>
      <c r="G235" t="str">
        <f>IF(G116="","",SUM(G$6:G116))</f>
        <v/>
      </c>
      <c r="H235" t="str">
        <f>IF(H116="","",SUM(H$6:H116))</f>
        <v/>
      </c>
      <c r="X235" t="str">
        <f>IF(X116="","",SUM(X$6:X116))</f>
        <v/>
      </c>
    </row>
    <row r="236" spans="1:35" x14ac:dyDescent="0.3">
      <c r="A236" s="3">
        <v>232</v>
      </c>
      <c r="B236">
        <f>IF(B117="","",SUM(B$6:B117))</f>
        <v>46367</v>
      </c>
      <c r="C236" t="str">
        <f>IF(C117="","",SUM(C$6:C117))</f>
        <v/>
      </c>
      <c r="D236" t="str">
        <f>IF(D117="","",SUM(D$6:D117))</f>
        <v/>
      </c>
      <c r="E236" t="str">
        <f>IF(E117="","",SUM(E$6:E117))</f>
        <v/>
      </c>
      <c r="F236" t="str">
        <f>IF(F117="","",SUM(F$6:F117))</f>
        <v/>
      </c>
      <c r="G236" t="str">
        <f>IF(G117="","",SUM(G$6:G117))</f>
        <v/>
      </c>
      <c r="H236" t="str">
        <f>IF(H117="","",SUM(H$6:H117))</f>
        <v/>
      </c>
    </row>
    <row r="237" spans="1:35" x14ac:dyDescent="0.3">
      <c r="A237" s="3">
        <v>233</v>
      </c>
      <c r="B237">
        <f>IF(B118="","",SUM(B$6:B118))</f>
        <v>46395</v>
      </c>
      <c r="C237" t="str">
        <f>IF(C118="","",SUM(C$6:C118))</f>
        <v/>
      </c>
      <c r="D237" t="str">
        <f>IF(D118="","",SUM(D$6:D118))</f>
        <v/>
      </c>
      <c r="E237" t="str">
        <f>IF(E118="","",SUM(E$6:E118))</f>
        <v/>
      </c>
      <c r="F237" t="str">
        <f>IF(F118="","",SUM(F$6:F118))</f>
        <v/>
      </c>
      <c r="G237" t="str">
        <f>IF(G118="","",SUM(G$6:G118))</f>
        <v/>
      </c>
      <c r="H237" t="str">
        <f>IF(H118="","",SUM(H$6:H118))</f>
        <v/>
      </c>
    </row>
    <row r="238" spans="1:35" x14ac:dyDescent="0.3">
      <c r="A238" s="3">
        <v>234</v>
      </c>
      <c r="B238">
        <f>IF(B119="","",SUM(B$6:B119))</f>
        <v>46404</v>
      </c>
      <c r="C238" t="str">
        <f>IF(C119="","",SUM(C$6:C119))</f>
        <v/>
      </c>
      <c r="D238" t="str">
        <f>IF(D119="","",SUM(D$6:D119))</f>
        <v/>
      </c>
      <c r="E238" t="str">
        <f>IF(E119="","",SUM(E$6:E119))</f>
        <v/>
      </c>
      <c r="F238" t="str">
        <f>IF(F119="","",SUM(F$6:F119))</f>
        <v/>
      </c>
      <c r="G238" t="str">
        <f>IF(G119="","",SUM(G$6:G119))</f>
        <v/>
      </c>
      <c r="H238" t="str">
        <f>IF(H119="","",SUM(H$6:H119))</f>
        <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DA52A-3755-4767-9E87-E24DFA959EB7}">
  <dimension ref="A1:AL158"/>
  <sheetViews>
    <sheetView tabSelected="1" zoomScale="85" zoomScaleNormal="85" workbookViewId="0">
      <pane xSplit="1" ySplit="6" topLeftCell="B136" activePane="bottomRight" state="frozen"/>
      <selection pane="topRight" activeCell="B1" sqref="B1"/>
      <selection pane="bottomLeft" activeCell="A6" sqref="A6"/>
      <selection pane="bottomRight" activeCell="A155" sqref="A155:F158"/>
    </sheetView>
  </sheetViews>
  <sheetFormatPr defaultRowHeight="14.4" x14ac:dyDescent="0.3"/>
  <cols>
    <col min="1" max="1" width="17.6640625" customWidth="1"/>
    <col min="7" max="7" width="12.5546875" bestFit="1" customWidth="1"/>
    <col min="8" max="8" width="11.5546875" bestFit="1" customWidth="1"/>
  </cols>
  <sheetData>
    <row r="1" spans="1:8" x14ac:dyDescent="0.3">
      <c r="A1" s="5" t="s">
        <v>3</v>
      </c>
    </row>
    <row r="2" spans="1:8" x14ac:dyDescent="0.3">
      <c r="A2" s="9" t="s">
        <v>10</v>
      </c>
      <c r="H2" s="22" t="s">
        <v>13</v>
      </c>
    </row>
    <row r="3" spans="1:8" x14ac:dyDescent="0.3">
      <c r="A3" s="10" t="s">
        <v>9</v>
      </c>
      <c r="H3" s="13">
        <f>(SUM(B104:F104)*SUM(F7:F153))/SUM(B7:F153)</f>
        <v>3.2846523565428885</v>
      </c>
    </row>
    <row r="4" spans="1:8" x14ac:dyDescent="0.3">
      <c r="H4" s="14"/>
    </row>
    <row r="5" spans="1:8" x14ac:dyDescent="0.3">
      <c r="A5" t="s">
        <v>4</v>
      </c>
    </row>
    <row r="6" spans="1:8" x14ac:dyDescent="0.3">
      <c r="A6" t="s">
        <v>0</v>
      </c>
      <c r="B6">
        <v>2021</v>
      </c>
      <c r="C6">
        <v>2022</v>
      </c>
      <c r="D6">
        <v>2023</v>
      </c>
      <c r="E6">
        <v>2024</v>
      </c>
      <c r="F6">
        <v>2025</v>
      </c>
    </row>
    <row r="7" spans="1:8" x14ac:dyDescent="0.3">
      <c r="A7" s="3">
        <v>140</v>
      </c>
    </row>
    <row r="8" spans="1:8" x14ac:dyDescent="0.3">
      <c r="A8" s="3">
        <v>141</v>
      </c>
    </row>
    <row r="9" spans="1:8" x14ac:dyDescent="0.3">
      <c r="A9" s="3">
        <v>142</v>
      </c>
    </row>
    <row r="10" spans="1:8" x14ac:dyDescent="0.3">
      <c r="A10" s="3">
        <v>143</v>
      </c>
    </row>
    <row r="11" spans="1:8" x14ac:dyDescent="0.3">
      <c r="A11" s="3">
        <v>144</v>
      </c>
    </row>
    <row r="12" spans="1:8" x14ac:dyDescent="0.3">
      <c r="A12" s="3">
        <v>145</v>
      </c>
    </row>
    <row r="13" spans="1:8" x14ac:dyDescent="0.3">
      <c r="A13" s="3">
        <v>146</v>
      </c>
    </row>
    <row r="14" spans="1:8" x14ac:dyDescent="0.3">
      <c r="A14" s="3">
        <v>147</v>
      </c>
    </row>
    <row r="15" spans="1:8" x14ac:dyDescent="0.3">
      <c r="A15" s="3">
        <v>148</v>
      </c>
    </row>
    <row r="16" spans="1:8" x14ac:dyDescent="0.3">
      <c r="A16" s="3">
        <v>149</v>
      </c>
    </row>
    <row r="17" spans="1:5" x14ac:dyDescent="0.3">
      <c r="A17" s="3">
        <v>150</v>
      </c>
    </row>
    <row r="18" spans="1:5" x14ac:dyDescent="0.3">
      <c r="A18" s="3">
        <v>151</v>
      </c>
    </row>
    <row r="19" spans="1:5" x14ac:dyDescent="0.3">
      <c r="A19" s="3">
        <v>152</v>
      </c>
    </row>
    <row r="20" spans="1:5" x14ac:dyDescent="0.3">
      <c r="A20" s="3">
        <v>153</v>
      </c>
    </row>
    <row r="21" spans="1:5" x14ac:dyDescent="0.3">
      <c r="A21" s="3">
        <v>154</v>
      </c>
    </row>
    <row r="22" spans="1:5" x14ac:dyDescent="0.3">
      <c r="A22" s="3">
        <v>155</v>
      </c>
    </row>
    <row r="23" spans="1:5" x14ac:dyDescent="0.3">
      <c r="A23" s="3">
        <v>156</v>
      </c>
    </row>
    <row r="24" spans="1:5" x14ac:dyDescent="0.3">
      <c r="A24" s="3">
        <v>157</v>
      </c>
    </row>
    <row r="25" spans="1:5" x14ac:dyDescent="0.3">
      <c r="A25" s="3">
        <v>158</v>
      </c>
    </row>
    <row r="26" spans="1:5" x14ac:dyDescent="0.3">
      <c r="A26" s="3">
        <v>159</v>
      </c>
    </row>
    <row r="27" spans="1:5" x14ac:dyDescent="0.3">
      <c r="A27" s="3">
        <v>160</v>
      </c>
    </row>
    <row r="28" spans="1:5" x14ac:dyDescent="0.3">
      <c r="A28" s="3">
        <v>161</v>
      </c>
    </row>
    <row r="29" spans="1:5" x14ac:dyDescent="0.3">
      <c r="A29" s="3">
        <v>162</v>
      </c>
    </row>
    <row r="30" spans="1:5" x14ac:dyDescent="0.3">
      <c r="A30" s="3">
        <v>163</v>
      </c>
    </row>
    <row r="31" spans="1:5" x14ac:dyDescent="0.3">
      <c r="A31" s="3">
        <v>164</v>
      </c>
      <c r="C31">
        <v>0</v>
      </c>
      <c r="E31">
        <v>0</v>
      </c>
    </row>
    <row r="32" spans="1:5" x14ac:dyDescent="0.3">
      <c r="A32" s="3">
        <v>165</v>
      </c>
      <c r="C32">
        <v>0</v>
      </c>
      <c r="E32">
        <v>0</v>
      </c>
    </row>
    <row r="33" spans="1:6" x14ac:dyDescent="0.3">
      <c r="A33" s="3">
        <v>166</v>
      </c>
      <c r="C33">
        <v>0</v>
      </c>
      <c r="E33">
        <v>0</v>
      </c>
    </row>
    <row r="34" spans="1:6" x14ac:dyDescent="0.3">
      <c r="A34" s="3">
        <v>167</v>
      </c>
      <c r="C34">
        <v>0</v>
      </c>
      <c r="D34">
        <v>0</v>
      </c>
      <c r="E34">
        <v>0</v>
      </c>
    </row>
    <row r="35" spans="1:6" x14ac:dyDescent="0.3">
      <c r="A35" s="3">
        <v>168</v>
      </c>
      <c r="C35">
        <v>0</v>
      </c>
      <c r="D35">
        <v>0</v>
      </c>
      <c r="E35">
        <v>0</v>
      </c>
    </row>
    <row r="36" spans="1:6" x14ac:dyDescent="0.3">
      <c r="A36" s="3">
        <v>169</v>
      </c>
      <c r="C36">
        <v>0</v>
      </c>
      <c r="D36">
        <v>0</v>
      </c>
      <c r="E36">
        <v>0</v>
      </c>
    </row>
    <row r="37" spans="1:6" x14ac:dyDescent="0.3">
      <c r="A37" s="3">
        <v>170</v>
      </c>
      <c r="C37">
        <v>0</v>
      </c>
      <c r="D37">
        <v>0</v>
      </c>
      <c r="E37">
        <v>0</v>
      </c>
    </row>
    <row r="38" spans="1:6" x14ac:dyDescent="0.3">
      <c r="A38" s="3">
        <v>171</v>
      </c>
      <c r="B38">
        <v>0</v>
      </c>
      <c r="C38">
        <v>0</v>
      </c>
      <c r="D38">
        <v>0</v>
      </c>
      <c r="E38">
        <v>0</v>
      </c>
      <c r="F38">
        <v>0</v>
      </c>
    </row>
    <row r="39" spans="1:6" x14ac:dyDescent="0.3">
      <c r="A39" s="3">
        <v>172</v>
      </c>
      <c r="B39">
        <v>0</v>
      </c>
      <c r="C39">
        <v>0</v>
      </c>
      <c r="D39">
        <v>0</v>
      </c>
      <c r="E39">
        <v>0</v>
      </c>
      <c r="F39">
        <v>0</v>
      </c>
    </row>
    <row r="40" spans="1:6" x14ac:dyDescent="0.3">
      <c r="A40" s="3">
        <v>173</v>
      </c>
      <c r="B40">
        <v>0</v>
      </c>
      <c r="C40">
        <v>0</v>
      </c>
      <c r="D40">
        <v>0</v>
      </c>
      <c r="E40">
        <v>0</v>
      </c>
      <c r="F40">
        <v>0</v>
      </c>
    </row>
    <row r="41" spans="1:6" x14ac:dyDescent="0.3">
      <c r="A41" s="3">
        <v>174</v>
      </c>
      <c r="B41">
        <v>0</v>
      </c>
      <c r="C41">
        <v>0</v>
      </c>
      <c r="D41">
        <v>0</v>
      </c>
      <c r="E41">
        <v>0</v>
      </c>
      <c r="F41">
        <v>0</v>
      </c>
    </row>
    <row r="42" spans="1:6" x14ac:dyDescent="0.3">
      <c r="A42" s="3">
        <v>175</v>
      </c>
      <c r="B42">
        <v>0</v>
      </c>
      <c r="C42">
        <v>0</v>
      </c>
      <c r="D42">
        <v>0</v>
      </c>
      <c r="E42">
        <v>0</v>
      </c>
      <c r="F42">
        <v>0</v>
      </c>
    </row>
    <row r="43" spans="1:6" x14ac:dyDescent="0.3">
      <c r="A43" s="3">
        <v>176</v>
      </c>
      <c r="B43">
        <v>0</v>
      </c>
      <c r="C43">
        <v>0</v>
      </c>
      <c r="D43">
        <v>0</v>
      </c>
      <c r="E43">
        <v>0</v>
      </c>
      <c r="F43">
        <v>0</v>
      </c>
    </row>
    <row r="44" spans="1:6" x14ac:dyDescent="0.3">
      <c r="A44" s="3">
        <v>177</v>
      </c>
      <c r="B44">
        <v>0</v>
      </c>
      <c r="C44">
        <v>0</v>
      </c>
      <c r="D44">
        <v>0</v>
      </c>
      <c r="E44">
        <v>0</v>
      </c>
      <c r="F44">
        <v>0</v>
      </c>
    </row>
    <row r="45" spans="1:6" x14ac:dyDescent="0.3">
      <c r="A45" s="3">
        <v>178</v>
      </c>
      <c r="B45">
        <v>0</v>
      </c>
      <c r="C45">
        <v>0</v>
      </c>
      <c r="D45">
        <v>0</v>
      </c>
      <c r="E45">
        <v>0</v>
      </c>
      <c r="F45">
        <v>0</v>
      </c>
    </row>
    <row r="46" spans="1:6" x14ac:dyDescent="0.3">
      <c r="A46" s="3">
        <v>179</v>
      </c>
      <c r="B46">
        <v>0</v>
      </c>
      <c r="C46">
        <v>0</v>
      </c>
      <c r="D46">
        <v>0</v>
      </c>
      <c r="E46">
        <v>0</v>
      </c>
      <c r="F46">
        <v>0</v>
      </c>
    </row>
    <row r="47" spans="1:6" x14ac:dyDescent="0.3">
      <c r="A47" s="3">
        <v>180</v>
      </c>
      <c r="B47">
        <v>0</v>
      </c>
      <c r="C47">
        <v>0</v>
      </c>
      <c r="D47">
        <v>0</v>
      </c>
      <c r="E47">
        <v>0</v>
      </c>
      <c r="F47">
        <v>0</v>
      </c>
    </row>
    <row r="48" spans="1:6" x14ac:dyDescent="0.3">
      <c r="A48" s="3">
        <v>181</v>
      </c>
      <c r="B48">
        <v>0</v>
      </c>
      <c r="C48">
        <v>0</v>
      </c>
      <c r="D48">
        <v>0</v>
      </c>
      <c r="E48">
        <v>0</v>
      </c>
      <c r="F48">
        <v>0</v>
      </c>
    </row>
    <row r="49" spans="1:6" x14ac:dyDescent="0.3">
      <c r="A49" s="3">
        <v>182</v>
      </c>
      <c r="B49">
        <v>0</v>
      </c>
      <c r="C49">
        <v>0</v>
      </c>
      <c r="D49">
        <v>0</v>
      </c>
      <c r="E49">
        <v>0</v>
      </c>
      <c r="F49">
        <v>0</v>
      </c>
    </row>
    <row r="50" spans="1:6" x14ac:dyDescent="0.3">
      <c r="A50" s="3">
        <v>183</v>
      </c>
      <c r="B50">
        <v>0</v>
      </c>
      <c r="C50">
        <v>0</v>
      </c>
      <c r="D50">
        <v>0</v>
      </c>
      <c r="E50">
        <v>0</v>
      </c>
      <c r="F50">
        <v>0</v>
      </c>
    </row>
    <row r="51" spans="1:6" x14ac:dyDescent="0.3">
      <c r="A51" s="3">
        <v>184</v>
      </c>
      <c r="B51">
        <v>0</v>
      </c>
      <c r="C51">
        <v>0</v>
      </c>
      <c r="D51">
        <v>0</v>
      </c>
      <c r="E51">
        <v>0</v>
      </c>
      <c r="F51">
        <v>0</v>
      </c>
    </row>
    <row r="52" spans="1:6" x14ac:dyDescent="0.3">
      <c r="A52" s="3">
        <v>185</v>
      </c>
      <c r="B52">
        <v>0</v>
      </c>
      <c r="C52">
        <v>0</v>
      </c>
      <c r="D52">
        <v>0</v>
      </c>
      <c r="E52">
        <v>0</v>
      </c>
      <c r="F52">
        <v>0</v>
      </c>
    </row>
    <row r="53" spans="1:6" x14ac:dyDescent="0.3">
      <c r="A53" s="3">
        <v>186</v>
      </c>
      <c r="B53">
        <v>0</v>
      </c>
      <c r="C53">
        <v>0</v>
      </c>
      <c r="D53">
        <v>0</v>
      </c>
      <c r="E53">
        <v>0</v>
      </c>
      <c r="F53">
        <v>0</v>
      </c>
    </row>
    <row r="54" spans="1:6" x14ac:dyDescent="0.3">
      <c r="A54" s="3">
        <v>187</v>
      </c>
      <c r="B54">
        <v>0</v>
      </c>
      <c r="C54">
        <v>0</v>
      </c>
      <c r="D54">
        <v>0</v>
      </c>
      <c r="E54">
        <v>0</v>
      </c>
      <c r="F54">
        <v>0</v>
      </c>
    </row>
    <row r="55" spans="1:6" x14ac:dyDescent="0.3">
      <c r="A55" s="3">
        <v>188</v>
      </c>
      <c r="B55">
        <v>0</v>
      </c>
      <c r="C55">
        <v>0</v>
      </c>
      <c r="D55">
        <v>0</v>
      </c>
      <c r="E55">
        <v>0</v>
      </c>
      <c r="F55">
        <v>0</v>
      </c>
    </row>
    <row r="56" spans="1:6" x14ac:dyDescent="0.3">
      <c r="A56" s="3">
        <v>189</v>
      </c>
      <c r="B56">
        <v>0</v>
      </c>
      <c r="C56">
        <v>0</v>
      </c>
      <c r="D56">
        <v>0</v>
      </c>
      <c r="E56">
        <v>0</v>
      </c>
      <c r="F56">
        <v>0</v>
      </c>
    </row>
    <row r="57" spans="1:6" x14ac:dyDescent="0.3">
      <c r="A57" s="3">
        <v>190</v>
      </c>
      <c r="B57">
        <v>0</v>
      </c>
      <c r="C57">
        <v>0</v>
      </c>
      <c r="D57">
        <v>0</v>
      </c>
      <c r="E57">
        <v>0</v>
      </c>
      <c r="F57">
        <v>0</v>
      </c>
    </row>
    <row r="58" spans="1:6" x14ac:dyDescent="0.3">
      <c r="A58" s="3">
        <v>191</v>
      </c>
      <c r="B58">
        <v>0</v>
      </c>
      <c r="C58">
        <v>0</v>
      </c>
      <c r="D58">
        <v>0</v>
      </c>
      <c r="E58">
        <v>0</v>
      </c>
      <c r="F58">
        <v>0</v>
      </c>
    </row>
    <row r="59" spans="1:6" x14ac:dyDescent="0.3">
      <c r="A59" s="3">
        <v>192</v>
      </c>
      <c r="B59">
        <v>0</v>
      </c>
      <c r="C59">
        <v>0</v>
      </c>
      <c r="D59">
        <v>0</v>
      </c>
      <c r="E59">
        <v>0</v>
      </c>
      <c r="F59">
        <v>0</v>
      </c>
    </row>
    <row r="60" spans="1:6" x14ac:dyDescent="0.3">
      <c r="A60" s="3">
        <v>193</v>
      </c>
      <c r="B60">
        <v>0</v>
      </c>
      <c r="C60">
        <v>0</v>
      </c>
      <c r="D60">
        <v>0</v>
      </c>
      <c r="E60">
        <v>0</v>
      </c>
      <c r="F60">
        <v>0</v>
      </c>
    </row>
    <row r="61" spans="1:6" x14ac:dyDescent="0.3">
      <c r="A61" s="3">
        <v>194</v>
      </c>
      <c r="B61">
        <v>0</v>
      </c>
      <c r="C61">
        <v>0</v>
      </c>
      <c r="D61">
        <v>0</v>
      </c>
      <c r="E61">
        <v>0</v>
      </c>
      <c r="F61">
        <v>0</v>
      </c>
    </row>
    <row r="62" spans="1:6" x14ac:dyDescent="0.3">
      <c r="A62" s="3">
        <v>195</v>
      </c>
      <c r="B62">
        <v>0</v>
      </c>
      <c r="C62">
        <v>0</v>
      </c>
      <c r="D62">
        <v>0</v>
      </c>
      <c r="E62">
        <v>0</v>
      </c>
      <c r="F62">
        <v>0</v>
      </c>
    </row>
    <row r="63" spans="1:6" x14ac:dyDescent="0.3">
      <c r="A63" s="3">
        <v>196</v>
      </c>
      <c r="B63">
        <v>0</v>
      </c>
      <c r="C63">
        <v>0</v>
      </c>
      <c r="D63">
        <v>0</v>
      </c>
      <c r="E63">
        <v>0</v>
      </c>
      <c r="F63">
        <v>0</v>
      </c>
    </row>
    <row r="64" spans="1:6" x14ac:dyDescent="0.3">
      <c r="A64" s="3">
        <v>197</v>
      </c>
      <c r="B64">
        <v>0</v>
      </c>
      <c r="C64">
        <v>0</v>
      </c>
      <c r="D64">
        <v>0</v>
      </c>
      <c r="E64">
        <v>0</v>
      </c>
      <c r="F64">
        <v>0</v>
      </c>
    </row>
    <row r="65" spans="1:21" x14ac:dyDescent="0.3">
      <c r="A65" s="3">
        <v>198</v>
      </c>
      <c r="B65">
        <v>0</v>
      </c>
      <c r="C65">
        <v>0</v>
      </c>
      <c r="D65">
        <v>0</v>
      </c>
      <c r="E65">
        <v>0</v>
      </c>
      <c r="F65">
        <v>0</v>
      </c>
    </row>
    <row r="66" spans="1:21" x14ac:dyDescent="0.3">
      <c r="A66" s="3">
        <v>199</v>
      </c>
      <c r="B66">
        <v>0</v>
      </c>
      <c r="C66">
        <v>0</v>
      </c>
      <c r="D66">
        <v>0</v>
      </c>
      <c r="E66">
        <v>0</v>
      </c>
      <c r="F66">
        <v>0</v>
      </c>
    </row>
    <row r="67" spans="1:21" x14ac:dyDescent="0.3">
      <c r="A67" s="3">
        <v>200</v>
      </c>
      <c r="B67">
        <v>0</v>
      </c>
      <c r="C67">
        <v>0</v>
      </c>
      <c r="D67">
        <v>0</v>
      </c>
      <c r="E67">
        <v>0</v>
      </c>
      <c r="F67">
        <v>0</v>
      </c>
    </row>
    <row r="68" spans="1:21" x14ac:dyDescent="0.3">
      <c r="A68" s="3">
        <v>201</v>
      </c>
      <c r="B68">
        <v>0</v>
      </c>
      <c r="C68">
        <v>0</v>
      </c>
      <c r="D68">
        <v>0</v>
      </c>
      <c r="E68">
        <v>0</v>
      </c>
      <c r="F68">
        <v>0</v>
      </c>
    </row>
    <row r="69" spans="1:21" x14ac:dyDescent="0.3">
      <c r="A69" s="3">
        <v>202</v>
      </c>
      <c r="B69">
        <v>0</v>
      </c>
      <c r="C69">
        <v>0</v>
      </c>
      <c r="D69">
        <v>0</v>
      </c>
      <c r="E69">
        <v>0</v>
      </c>
      <c r="F69">
        <v>0</v>
      </c>
    </row>
    <row r="70" spans="1:21" x14ac:dyDescent="0.3">
      <c r="A70" s="3">
        <v>203</v>
      </c>
      <c r="B70">
        <v>0</v>
      </c>
      <c r="C70">
        <v>0</v>
      </c>
      <c r="D70">
        <v>0</v>
      </c>
      <c r="E70">
        <v>0</v>
      </c>
      <c r="F70">
        <v>0</v>
      </c>
    </row>
    <row r="71" spans="1:21" x14ac:dyDescent="0.3">
      <c r="A71" s="3">
        <v>204</v>
      </c>
      <c r="B71">
        <v>0</v>
      </c>
      <c r="C71">
        <v>0</v>
      </c>
      <c r="D71">
        <v>0</v>
      </c>
      <c r="E71">
        <v>0</v>
      </c>
      <c r="F71">
        <v>0</v>
      </c>
    </row>
    <row r="72" spans="1:21" x14ac:dyDescent="0.3">
      <c r="A72" s="3">
        <v>205</v>
      </c>
      <c r="B72">
        <v>0</v>
      </c>
      <c r="C72">
        <v>0</v>
      </c>
      <c r="D72">
        <v>0</v>
      </c>
      <c r="E72">
        <v>0</v>
      </c>
      <c r="F72">
        <v>0</v>
      </c>
    </row>
    <row r="73" spans="1:21" x14ac:dyDescent="0.3">
      <c r="A73" s="3">
        <v>206</v>
      </c>
      <c r="B73">
        <v>0</v>
      </c>
      <c r="C73">
        <v>0</v>
      </c>
      <c r="D73">
        <v>0</v>
      </c>
      <c r="E73">
        <v>0</v>
      </c>
      <c r="F73">
        <v>0</v>
      </c>
      <c r="U73" s="20"/>
    </row>
    <row r="74" spans="1:21" x14ac:dyDescent="0.3">
      <c r="A74" s="3">
        <v>207</v>
      </c>
      <c r="B74">
        <v>0</v>
      </c>
      <c r="C74">
        <v>0</v>
      </c>
      <c r="D74">
        <v>0</v>
      </c>
      <c r="E74">
        <v>0</v>
      </c>
      <c r="F74">
        <v>0</v>
      </c>
    </row>
    <row r="75" spans="1:21" x14ac:dyDescent="0.3">
      <c r="A75" s="3">
        <v>208</v>
      </c>
      <c r="B75">
        <v>0</v>
      </c>
      <c r="C75">
        <v>0</v>
      </c>
      <c r="D75">
        <v>0</v>
      </c>
      <c r="E75">
        <v>0</v>
      </c>
      <c r="F75">
        <v>0</v>
      </c>
    </row>
    <row r="76" spans="1:21" x14ac:dyDescent="0.3">
      <c r="A76" s="3">
        <v>209</v>
      </c>
      <c r="B76">
        <v>0</v>
      </c>
      <c r="C76">
        <v>0</v>
      </c>
      <c r="D76">
        <v>0</v>
      </c>
      <c r="E76">
        <v>0</v>
      </c>
      <c r="F76">
        <v>0</v>
      </c>
    </row>
    <row r="77" spans="1:21" x14ac:dyDescent="0.3">
      <c r="A77" s="3">
        <v>210</v>
      </c>
      <c r="B77">
        <v>0</v>
      </c>
      <c r="C77">
        <v>0</v>
      </c>
      <c r="D77">
        <v>0</v>
      </c>
      <c r="E77">
        <v>0</v>
      </c>
      <c r="F77">
        <v>0</v>
      </c>
    </row>
    <row r="78" spans="1:21" x14ac:dyDescent="0.3">
      <c r="A78" s="3">
        <v>211</v>
      </c>
      <c r="B78">
        <v>0</v>
      </c>
      <c r="C78">
        <v>0</v>
      </c>
      <c r="D78">
        <v>0</v>
      </c>
      <c r="E78">
        <v>0</v>
      </c>
      <c r="F78">
        <v>0</v>
      </c>
    </row>
    <row r="79" spans="1:21" x14ac:dyDescent="0.3">
      <c r="A79" s="3">
        <v>212</v>
      </c>
      <c r="B79">
        <v>0</v>
      </c>
      <c r="C79">
        <v>0</v>
      </c>
      <c r="D79">
        <v>0</v>
      </c>
      <c r="E79">
        <v>0</v>
      </c>
      <c r="F79">
        <v>0</v>
      </c>
    </row>
    <row r="80" spans="1:21" x14ac:dyDescent="0.3">
      <c r="A80" s="3">
        <v>213</v>
      </c>
      <c r="B80">
        <v>0</v>
      </c>
      <c r="C80">
        <v>0</v>
      </c>
      <c r="D80">
        <v>0</v>
      </c>
      <c r="E80">
        <v>0</v>
      </c>
      <c r="F80">
        <v>0</v>
      </c>
    </row>
    <row r="81" spans="1:34" x14ac:dyDescent="0.3">
      <c r="A81" s="3">
        <v>214</v>
      </c>
      <c r="B81">
        <v>0</v>
      </c>
      <c r="C81">
        <v>0</v>
      </c>
      <c r="D81">
        <v>0</v>
      </c>
      <c r="E81">
        <v>0</v>
      </c>
      <c r="F81">
        <v>0</v>
      </c>
    </row>
    <row r="82" spans="1:34" x14ac:dyDescent="0.3">
      <c r="A82" s="3">
        <v>215</v>
      </c>
      <c r="B82">
        <v>0</v>
      </c>
      <c r="C82">
        <v>0</v>
      </c>
      <c r="D82">
        <v>0</v>
      </c>
      <c r="E82">
        <v>0</v>
      </c>
      <c r="F82">
        <v>0</v>
      </c>
    </row>
    <row r="83" spans="1:34" x14ac:dyDescent="0.3">
      <c r="A83" s="3">
        <v>216</v>
      </c>
      <c r="B83">
        <v>0</v>
      </c>
      <c r="C83">
        <v>0</v>
      </c>
      <c r="D83">
        <v>0</v>
      </c>
      <c r="E83">
        <v>0</v>
      </c>
      <c r="F83">
        <v>0</v>
      </c>
    </row>
    <row r="84" spans="1:34" x14ac:dyDescent="0.3">
      <c r="A84" s="3">
        <v>217</v>
      </c>
      <c r="B84">
        <v>0</v>
      </c>
      <c r="C84">
        <v>0</v>
      </c>
      <c r="D84">
        <v>0</v>
      </c>
      <c r="E84">
        <v>0</v>
      </c>
      <c r="F84">
        <v>0</v>
      </c>
    </row>
    <row r="85" spans="1:34" x14ac:dyDescent="0.3">
      <c r="A85" s="3">
        <v>218</v>
      </c>
      <c r="B85">
        <v>0</v>
      </c>
      <c r="C85">
        <v>0</v>
      </c>
      <c r="D85">
        <v>0</v>
      </c>
      <c r="E85">
        <v>0</v>
      </c>
      <c r="F85">
        <v>0</v>
      </c>
    </row>
    <row r="86" spans="1:34" x14ac:dyDescent="0.3">
      <c r="A86" s="3">
        <v>219</v>
      </c>
      <c r="B86">
        <v>0</v>
      </c>
      <c r="C86">
        <v>0</v>
      </c>
      <c r="D86">
        <v>0</v>
      </c>
      <c r="E86">
        <v>0</v>
      </c>
      <c r="F86">
        <v>0</v>
      </c>
    </row>
    <row r="87" spans="1:34" x14ac:dyDescent="0.3">
      <c r="A87" s="3">
        <v>220</v>
      </c>
      <c r="B87">
        <v>0</v>
      </c>
      <c r="C87">
        <v>0</v>
      </c>
      <c r="D87">
        <v>0</v>
      </c>
      <c r="E87">
        <v>0</v>
      </c>
      <c r="F87">
        <v>0</v>
      </c>
    </row>
    <row r="88" spans="1:34" x14ac:dyDescent="0.3">
      <c r="A88" s="3">
        <v>221</v>
      </c>
      <c r="B88">
        <v>0</v>
      </c>
      <c r="C88">
        <v>0</v>
      </c>
      <c r="D88">
        <v>0</v>
      </c>
      <c r="E88">
        <v>0</v>
      </c>
      <c r="F88">
        <v>0</v>
      </c>
    </row>
    <row r="89" spans="1:34" x14ac:dyDescent="0.3">
      <c r="A89" s="3">
        <v>222</v>
      </c>
      <c r="B89">
        <v>0</v>
      </c>
      <c r="C89">
        <v>0</v>
      </c>
      <c r="D89">
        <v>0</v>
      </c>
      <c r="E89">
        <v>0</v>
      </c>
      <c r="F89">
        <v>0</v>
      </c>
    </row>
    <row r="90" spans="1:34" x14ac:dyDescent="0.3">
      <c r="A90" s="3">
        <v>223</v>
      </c>
      <c r="B90">
        <v>0</v>
      </c>
      <c r="C90">
        <v>0</v>
      </c>
      <c r="D90">
        <v>0</v>
      </c>
      <c r="E90">
        <v>0</v>
      </c>
      <c r="F90">
        <v>0</v>
      </c>
      <c r="X90" s="3"/>
    </row>
    <row r="91" spans="1:34" x14ac:dyDescent="0.3">
      <c r="A91" s="3">
        <v>224</v>
      </c>
      <c r="B91">
        <v>0</v>
      </c>
      <c r="C91">
        <v>0</v>
      </c>
      <c r="D91">
        <v>0</v>
      </c>
      <c r="E91">
        <v>0</v>
      </c>
      <c r="F91">
        <v>0</v>
      </c>
      <c r="X91" s="3"/>
      <c r="AD91" s="3"/>
    </row>
    <row r="92" spans="1:34" x14ac:dyDescent="0.3">
      <c r="A92" s="3">
        <v>225</v>
      </c>
      <c r="B92">
        <v>0</v>
      </c>
      <c r="C92">
        <v>0</v>
      </c>
      <c r="D92">
        <v>0</v>
      </c>
      <c r="E92">
        <v>0</v>
      </c>
      <c r="F92">
        <v>0</v>
      </c>
      <c r="X92" s="3"/>
      <c r="Z92" s="3"/>
      <c r="AD92" s="3"/>
    </row>
    <row r="93" spans="1:34" x14ac:dyDescent="0.3">
      <c r="A93" s="3">
        <v>226</v>
      </c>
      <c r="B93">
        <v>0</v>
      </c>
      <c r="C93">
        <v>0</v>
      </c>
      <c r="D93">
        <v>0</v>
      </c>
      <c r="E93">
        <v>0</v>
      </c>
      <c r="F93">
        <v>0</v>
      </c>
      <c r="X93" s="3"/>
      <c r="Z93" s="3"/>
      <c r="AB93" s="3"/>
      <c r="AD93" s="3"/>
      <c r="AE93" s="3"/>
      <c r="AF93" s="3"/>
      <c r="AG93" s="3"/>
    </row>
    <row r="94" spans="1:34" x14ac:dyDescent="0.3">
      <c r="A94" s="3">
        <v>227</v>
      </c>
      <c r="B94">
        <v>0</v>
      </c>
      <c r="C94">
        <v>0</v>
      </c>
      <c r="D94">
        <v>0</v>
      </c>
      <c r="E94">
        <v>0</v>
      </c>
      <c r="F94">
        <v>0</v>
      </c>
      <c r="J94" s="3"/>
      <c r="P94" s="3"/>
      <c r="X94" s="3"/>
      <c r="Z94" s="3"/>
      <c r="AA94" s="3"/>
      <c r="AB94" s="3"/>
      <c r="AC94" s="3"/>
      <c r="AD94" s="3"/>
      <c r="AE94" s="3"/>
      <c r="AF94" s="3"/>
      <c r="AG94" s="3"/>
    </row>
    <row r="95" spans="1:34" x14ac:dyDescent="0.3">
      <c r="A95" s="3">
        <v>228</v>
      </c>
      <c r="B95">
        <v>0</v>
      </c>
      <c r="C95">
        <v>0</v>
      </c>
      <c r="D95">
        <v>0</v>
      </c>
      <c r="E95">
        <v>0</v>
      </c>
      <c r="F95">
        <v>0</v>
      </c>
      <c r="J95" s="3"/>
      <c r="P95" s="3"/>
      <c r="V95" s="3"/>
      <c r="X95" s="3"/>
      <c r="Z95" s="3"/>
      <c r="AA95" s="3"/>
      <c r="AB95" s="3"/>
      <c r="AC95" s="3"/>
      <c r="AD95" s="3"/>
      <c r="AE95" s="3"/>
      <c r="AF95" s="3"/>
      <c r="AG95" s="3"/>
    </row>
    <row r="96" spans="1:34" x14ac:dyDescent="0.3">
      <c r="A96" s="3">
        <v>229</v>
      </c>
      <c r="B96">
        <v>0</v>
      </c>
      <c r="C96">
        <v>0</v>
      </c>
      <c r="D96">
        <v>0</v>
      </c>
      <c r="E96">
        <v>0</v>
      </c>
      <c r="F96">
        <v>0</v>
      </c>
      <c r="I96" s="3"/>
      <c r="J96" s="3"/>
      <c r="O96" s="3"/>
      <c r="P96" s="3"/>
      <c r="V96" s="3"/>
      <c r="X96" s="3"/>
      <c r="Z96" s="3"/>
      <c r="AA96" s="3"/>
      <c r="AB96" s="3"/>
      <c r="AC96" s="3"/>
      <c r="AD96" s="3"/>
      <c r="AE96" s="3"/>
      <c r="AF96" s="3"/>
      <c r="AG96" s="3"/>
      <c r="AH96" s="3"/>
    </row>
    <row r="97" spans="1:38" x14ac:dyDescent="0.3">
      <c r="A97" s="3">
        <v>230</v>
      </c>
      <c r="B97">
        <v>0</v>
      </c>
      <c r="C97">
        <v>0</v>
      </c>
      <c r="D97">
        <v>0</v>
      </c>
      <c r="E97">
        <v>0</v>
      </c>
      <c r="F97">
        <v>0</v>
      </c>
      <c r="I97" s="3"/>
      <c r="J97" s="3"/>
      <c r="M97" s="3"/>
      <c r="N97" s="3"/>
      <c r="O97" s="3"/>
      <c r="P97" s="3"/>
      <c r="Q97" s="3"/>
      <c r="R97" s="3"/>
      <c r="T97" s="3"/>
      <c r="U97" s="3"/>
      <c r="V97" s="3"/>
      <c r="X97" s="3"/>
      <c r="Y97" s="3"/>
      <c r="Z97" s="3"/>
      <c r="AA97" s="3"/>
      <c r="AB97" s="3"/>
      <c r="AC97" s="3"/>
      <c r="AD97" s="3"/>
      <c r="AE97" s="3"/>
      <c r="AF97" s="3"/>
      <c r="AG97" s="3"/>
      <c r="AH97" s="3"/>
    </row>
    <row r="98" spans="1:38" x14ac:dyDescent="0.3">
      <c r="A98" s="3">
        <v>231</v>
      </c>
      <c r="B98">
        <v>0</v>
      </c>
      <c r="C98">
        <v>0</v>
      </c>
      <c r="D98">
        <v>0</v>
      </c>
      <c r="E98">
        <v>0</v>
      </c>
      <c r="F98">
        <v>0</v>
      </c>
      <c r="I98" s="3"/>
      <c r="J98" s="3"/>
      <c r="K98" s="3"/>
      <c r="L98" s="3"/>
      <c r="M98" s="3"/>
      <c r="N98" s="3"/>
      <c r="O98" s="3"/>
      <c r="P98" s="3"/>
      <c r="Q98" s="3"/>
      <c r="R98" s="3"/>
      <c r="S98" s="3"/>
      <c r="T98" s="3"/>
      <c r="U98" s="3"/>
      <c r="V98" s="3"/>
      <c r="X98" s="3"/>
      <c r="Y98" s="3"/>
      <c r="Z98" s="3"/>
      <c r="AA98" s="3"/>
      <c r="AB98" s="3"/>
      <c r="AC98" s="3"/>
      <c r="AD98" s="3"/>
      <c r="AE98" s="3"/>
      <c r="AF98" s="3"/>
      <c r="AG98" s="3"/>
      <c r="AH98" s="3"/>
    </row>
    <row r="99" spans="1:38" x14ac:dyDescent="0.3">
      <c r="A99" s="3">
        <v>232</v>
      </c>
      <c r="B99">
        <v>0</v>
      </c>
      <c r="C99">
        <v>0</v>
      </c>
      <c r="D99">
        <v>0</v>
      </c>
      <c r="E99">
        <v>0</v>
      </c>
      <c r="F99">
        <v>0</v>
      </c>
      <c r="I99" s="3"/>
      <c r="J99" s="3"/>
      <c r="K99" s="3"/>
      <c r="L99" s="3"/>
      <c r="M99" s="3"/>
      <c r="N99" s="3"/>
      <c r="O99" s="3"/>
      <c r="P99" s="3"/>
      <c r="Q99" s="3"/>
      <c r="R99" s="3"/>
      <c r="S99" s="3"/>
      <c r="T99" s="3"/>
      <c r="U99" s="3"/>
      <c r="V99" s="3"/>
      <c r="W99" s="3"/>
      <c r="X99" s="3"/>
      <c r="Y99" s="3"/>
      <c r="Z99" s="3"/>
      <c r="AA99" s="3"/>
      <c r="AB99" s="3"/>
      <c r="AC99" s="3"/>
      <c r="AD99" s="3"/>
      <c r="AE99" s="3"/>
      <c r="AF99" s="3"/>
      <c r="AG99" s="3"/>
      <c r="AH99" s="3"/>
    </row>
    <row r="100" spans="1:38" x14ac:dyDescent="0.3">
      <c r="A100" s="3">
        <v>233</v>
      </c>
      <c r="B100">
        <v>0</v>
      </c>
      <c r="C100">
        <v>0</v>
      </c>
      <c r="D100">
        <v>0</v>
      </c>
      <c r="E100">
        <v>0</v>
      </c>
      <c r="F100">
        <v>0</v>
      </c>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row>
    <row r="101" spans="1:38" x14ac:dyDescent="0.3">
      <c r="A101" s="3">
        <v>234</v>
      </c>
      <c r="B101">
        <v>0</v>
      </c>
      <c r="C101">
        <v>0</v>
      </c>
      <c r="D101">
        <v>0</v>
      </c>
      <c r="E101">
        <v>0</v>
      </c>
      <c r="F101">
        <v>0</v>
      </c>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row>
    <row r="102" spans="1:38" x14ac:dyDescent="0.3">
      <c r="A102" s="3">
        <v>235</v>
      </c>
      <c r="B102">
        <v>0</v>
      </c>
      <c r="C102">
        <v>0</v>
      </c>
      <c r="D102">
        <v>0</v>
      </c>
      <c r="E102">
        <v>0</v>
      </c>
      <c r="F102">
        <v>0</v>
      </c>
    </row>
    <row r="103" spans="1:38" x14ac:dyDescent="0.3">
      <c r="A103" s="3">
        <v>236</v>
      </c>
      <c r="B103">
        <v>0</v>
      </c>
      <c r="C103">
        <v>0</v>
      </c>
      <c r="D103">
        <v>0</v>
      </c>
      <c r="E103">
        <v>7</v>
      </c>
      <c r="F103">
        <v>0</v>
      </c>
    </row>
    <row r="104" spans="1:38" x14ac:dyDescent="0.3">
      <c r="A104" s="3">
        <v>237</v>
      </c>
      <c r="B104">
        <v>0</v>
      </c>
      <c r="C104">
        <v>0</v>
      </c>
      <c r="D104">
        <v>0</v>
      </c>
      <c r="E104">
        <v>13</v>
      </c>
      <c r="F104" s="23">
        <v>3.2846523565428898</v>
      </c>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row>
    <row r="105" spans="1:38" x14ac:dyDescent="0.3">
      <c r="A105" s="3">
        <v>238</v>
      </c>
      <c r="B105">
        <v>0</v>
      </c>
      <c r="C105">
        <v>0</v>
      </c>
      <c r="D105">
        <v>0</v>
      </c>
      <c r="E105">
        <v>0</v>
      </c>
      <c r="F105" s="11">
        <v>0</v>
      </c>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row>
    <row r="106" spans="1:38" x14ac:dyDescent="0.3">
      <c r="A106" s="3">
        <v>239</v>
      </c>
      <c r="B106">
        <v>0</v>
      </c>
      <c r="C106">
        <v>0</v>
      </c>
      <c r="D106">
        <v>0</v>
      </c>
      <c r="E106">
        <v>0</v>
      </c>
      <c r="F106" s="11">
        <v>0</v>
      </c>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J106" s="7"/>
      <c r="AK106" s="7"/>
      <c r="AL106" s="8"/>
    </row>
    <row r="107" spans="1:38" x14ac:dyDescent="0.3">
      <c r="A107" s="3">
        <v>240</v>
      </c>
      <c r="B107">
        <v>0</v>
      </c>
      <c r="C107">
        <v>0</v>
      </c>
      <c r="D107">
        <v>0</v>
      </c>
      <c r="E107">
        <v>0</v>
      </c>
      <c r="F107" s="11">
        <v>0</v>
      </c>
    </row>
    <row r="108" spans="1:38" x14ac:dyDescent="0.3">
      <c r="A108" s="3">
        <v>241</v>
      </c>
      <c r="B108">
        <v>0</v>
      </c>
      <c r="C108">
        <v>0</v>
      </c>
      <c r="D108">
        <v>0</v>
      </c>
      <c r="E108">
        <v>0</v>
      </c>
      <c r="F108" s="11">
        <v>0</v>
      </c>
    </row>
    <row r="109" spans="1:38" x14ac:dyDescent="0.3">
      <c r="A109" s="3">
        <v>242</v>
      </c>
      <c r="B109">
        <v>0</v>
      </c>
      <c r="C109">
        <v>0</v>
      </c>
      <c r="D109">
        <v>0</v>
      </c>
      <c r="E109">
        <v>0</v>
      </c>
      <c r="F109" s="11">
        <v>0</v>
      </c>
    </row>
    <row r="110" spans="1:38" x14ac:dyDescent="0.3">
      <c r="A110" s="3">
        <v>243</v>
      </c>
      <c r="B110">
        <v>0</v>
      </c>
      <c r="C110">
        <v>0</v>
      </c>
      <c r="D110">
        <v>0</v>
      </c>
      <c r="E110">
        <v>0</v>
      </c>
      <c r="F110" s="11">
        <v>0</v>
      </c>
    </row>
    <row r="111" spans="1:38" x14ac:dyDescent="0.3">
      <c r="A111" s="3">
        <v>244</v>
      </c>
      <c r="B111">
        <v>7</v>
      </c>
      <c r="C111">
        <v>0</v>
      </c>
      <c r="D111">
        <v>0</v>
      </c>
      <c r="E111">
        <v>0</v>
      </c>
      <c r="F111" s="11">
        <v>1.7686589612154</v>
      </c>
    </row>
    <row r="112" spans="1:38" x14ac:dyDescent="0.3">
      <c r="A112" s="3">
        <v>245</v>
      </c>
      <c r="B112">
        <v>0</v>
      </c>
      <c r="C112">
        <v>0</v>
      </c>
      <c r="D112">
        <v>0</v>
      </c>
      <c r="E112">
        <v>40</v>
      </c>
      <c r="F112" s="11">
        <v>10.106622635516599</v>
      </c>
    </row>
    <row r="113" spans="1:6" x14ac:dyDescent="0.3">
      <c r="A113" s="3">
        <v>246</v>
      </c>
      <c r="B113">
        <v>0</v>
      </c>
      <c r="C113">
        <v>0</v>
      </c>
      <c r="D113">
        <v>0</v>
      </c>
      <c r="E113">
        <v>31</v>
      </c>
      <c r="F113" s="11">
        <v>7.8326325425253502</v>
      </c>
    </row>
    <row r="114" spans="1:6" x14ac:dyDescent="0.3">
      <c r="A114" s="3">
        <v>247</v>
      </c>
      <c r="B114">
        <v>0</v>
      </c>
      <c r="C114">
        <v>0</v>
      </c>
      <c r="D114">
        <v>0</v>
      </c>
      <c r="E114">
        <v>12</v>
      </c>
      <c r="F114" s="11">
        <v>3.0319867906549698</v>
      </c>
    </row>
    <row r="115" spans="1:6" x14ac:dyDescent="0.3">
      <c r="A115" s="3">
        <v>248</v>
      </c>
      <c r="B115">
        <v>0</v>
      </c>
      <c r="C115">
        <v>0</v>
      </c>
      <c r="D115">
        <v>0</v>
      </c>
      <c r="E115">
        <v>0</v>
      </c>
      <c r="F115" s="11">
        <v>0</v>
      </c>
    </row>
    <row r="116" spans="1:6" x14ac:dyDescent="0.3">
      <c r="A116" s="3">
        <v>249</v>
      </c>
      <c r="B116">
        <v>0</v>
      </c>
      <c r="C116">
        <v>0</v>
      </c>
      <c r="D116">
        <v>0</v>
      </c>
      <c r="E116">
        <v>-1</v>
      </c>
      <c r="F116" s="11">
        <v>-0.252665565887914</v>
      </c>
    </row>
    <row r="117" spans="1:6" x14ac:dyDescent="0.3">
      <c r="A117" s="3">
        <v>250</v>
      </c>
      <c r="B117">
        <v>0</v>
      </c>
      <c r="C117">
        <v>0</v>
      </c>
      <c r="D117">
        <v>0</v>
      </c>
      <c r="E117">
        <v>11</v>
      </c>
      <c r="F117">
        <v>0</v>
      </c>
    </row>
    <row r="118" spans="1:6" x14ac:dyDescent="0.3">
      <c r="A118" s="3">
        <v>251</v>
      </c>
      <c r="B118">
        <v>0</v>
      </c>
      <c r="C118">
        <v>0</v>
      </c>
      <c r="D118">
        <v>0</v>
      </c>
      <c r="E118">
        <v>23</v>
      </c>
      <c r="F118">
        <v>26</v>
      </c>
    </row>
    <row r="119" spans="1:6" x14ac:dyDescent="0.3">
      <c r="A119" s="3">
        <v>252</v>
      </c>
      <c r="B119">
        <v>0</v>
      </c>
      <c r="C119">
        <v>0</v>
      </c>
      <c r="D119">
        <v>0</v>
      </c>
      <c r="E119">
        <v>68</v>
      </c>
      <c r="F119">
        <v>38</v>
      </c>
    </row>
    <row r="120" spans="1:6" x14ac:dyDescent="0.3">
      <c r="A120" s="3">
        <v>253</v>
      </c>
      <c r="B120">
        <v>39</v>
      </c>
      <c r="C120">
        <v>93</v>
      </c>
      <c r="D120">
        <v>0</v>
      </c>
      <c r="E120">
        <v>111</v>
      </c>
      <c r="F120">
        <v>21</v>
      </c>
    </row>
    <row r="121" spans="1:6" x14ac:dyDescent="0.3">
      <c r="A121" s="3">
        <v>254</v>
      </c>
      <c r="B121">
        <v>13</v>
      </c>
      <c r="C121">
        <v>100</v>
      </c>
      <c r="D121">
        <v>0</v>
      </c>
      <c r="E121">
        <v>178</v>
      </c>
      <c r="F121">
        <v>14</v>
      </c>
    </row>
    <row r="122" spans="1:6" x14ac:dyDescent="0.3">
      <c r="A122" s="3">
        <v>255</v>
      </c>
      <c r="B122">
        <v>25</v>
      </c>
      <c r="C122">
        <v>93</v>
      </c>
      <c r="D122">
        <v>0</v>
      </c>
      <c r="E122">
        <v>85</v>
      </c>
      <c r="F122">
        <v>17</v>
      </c>
    </row>
    <row r="123" spans="1:6" x14ac:dyDescent="0.3">
      <c r="A123" s="3">
        <v>256</v>
      </c>
      <c r="B123">
        <v>37</v>
      </c>
      <c r="C123">
        <v>91</v>
      </c>
      <c r="D123">
        <v>0</v>
      </c>
      <c r="E123">
        <v>182</v>
      </c>
      <c r="F123">
        <v>66</v>
      </c>
    </row>
    <row r="124" spans="1:6" x14ac:dyDescent="0.3">
      <c r="A124" s="3">
        <v>257</v>
      </c>
      <c r="B124">
        <v>128</v>
      </c>
      <c r="C124">
        <v>53</v>
      </c>
      <c r="D124">
        <v>0</v>
      </c>
      <c r="E124">
        <v>122</v>
      </c>
      <c r="F124">
        <v>40</v>
      </c>
    </row>
    <row r="125" spans="1:6" x14ac:dyDescent="0.3">
      <c r="A125" s="3">
        <v>258</v>
      </c>
      <c r="B125">
        <v>117</v>
      </c>
      <c r="C125">
        <v>1</v>
      </c>
      <c r="D125">
        <v>0</v>
      </c>
      <c r="E125">
        <v>77</v>
      </c>
      <c r="F125">
        <v>40</v>
      </c>
    </row>
    <row r="126" spans="1:6" x14ac:dyDescent="0.3">
      <c r="A126" s="3">
        <v>259</v>
      </c>
      <c r="B126">
        <v>133</v>
      </c>
      <c r="C126">
        <v>26</v>
      </c>
      <c r="D126">
        <v>0</v>
      </c>
      <c r="E126">
        <v>91</v>
      </c>
      <c r="F126">
        <v>42</v>
      </c>
    </row>
    <row r="127" spans="1:6" x14ac:dyDescent="0.3">
      <c r="A127" s="3">
        <v>260</v>
      </c>
      <c r="B127">
        <v>137</v>
      </c>
      <c r="C127">
        <v>119</v>
      </c>
      <c r="D127">
        <v>0</v>
      </c>
      <c r="E127">
        <v>141</v>
      </c>
      <c r="F127">
        <v>51</v>
      </c>
    </row>
    <row r="128" spans="1:6" x14ac:dyDescent="0.3">
      <c r="A128" s="3">
        <v>261</v>
      </c>
      <c r="B128">
        <v>153</v>
      </c>
      <c r="C128">
        <v>86</v>
      </c>
      <c r="D128">
        <v>0</v>
      </c>
      <c r="E128">
        <v>159</v>
      </c>
      <c r="F128">
        <v>32</v>
      </c>
    </row>
    <row r="129" spans="1:6" x14ac:dyDescent="0.3">
      <c r="A129" s="3">
        <v>262</v>
      </c>
      <c r="B129">
        <v>410</v>
      </c>
      <c r="C129">
        <v>86</v>
      </c>
      <c r="D129">
        <v>0</v>
      </c>
      <c r="E129">
        <v>300</v>
      </c>
      <c r="F129">
        <v>13</v>
      </c>
    </row>
    <row r="130" spans="1:6" x14ac:dyDescent="0.3">
      <c r="A130" s="3">
        <v>263</v>
      </c>
      <c r="B130">
        <v>203</v>
      </c>
      <c r="C130">
        <v>300</v>
      </c>
      <c r="D130">
        <v>77</v>
      </c>
      <c r="E130">
        <v>234</v>
      </c>
      <c r="F130">
        <v>16</v>
      </c>
    </row>
    <row r="131" spans="1:6" x14ac:dyDescent="0.3">
      <c r="A131" s="3">
        <v>264</v>
      </c>
      <c r="B131">
        <v>39</v>
      </c>
      <c r="C131">
        <v>131</v>
      </c>
      <c r="D131">
        <v>45</v>
      </c>
      <c r="E131">
        <v>419</v>
      </c>
      <c r="F131">
        <v>75</v>
      </c>
    </row>
    <row r="132" spans="1:6" x14ac:dyDescent="0.3">
      <c r="A132" s="3">
        <v>265</v>
      </c>
      <c r="B132">
        <v>0</v>
      </c>
      <c r="C132">
        <v>18</v>
      </c>
      <c r="D132">
        <v>123</v>
      </c>
      <c r="E132">
        <v>668</v>
      </c>
      <c r="F132">
        <v>68</v>
      </c>
    </row>
    <row r="133" spans="1:6" x14ac:dyDescent="0.3">
      <c r="A133" s="3">
        <v>266</v>
      </c>
      <c r="B133">
        <v>55</v>
      </c>
      <c r="C133">
        <v>-13</v>
      </c>
      <c r="D133">
        <v>84</v>
      </c>
      <c r="E133">
        <v>63</v>
      </c>
      <c r="F133">
        <v>310</v>
      </c>
    </row>
    <row r="134" spans="1:6" x14ac:dyDescent="0.3">
      <c r="A134" s="3">
        <v>267</v>
      </c>
      <c r="B134">
        <v>18</v>
      </c>
      <c r="C134">
        <v>42</v>
      </c>
      <c r="D134">
        <v>193</v>
      </c>
      <c r="E134">
        <v>144</v>
      </c>
      <c r="F134">
        <v>130</v>
      </c>
    </row>
    <row r="135" spans="1:6" x14ac:dyDescent="0.3">
      <c r="A135" s="3">
        <v>268</v>
      </c>
      <c r="B135">
        <v>145</v>
      </c>
      <c r="C135">
        <v>44</v>
      </c>
      <c r="D135">
        <v>276</v>
      </c>
      <c r="E135">
        <v>492</v>
      </c>
      <c r="F135">
        <v>221</v>
      </c>
    </row>
    <row r="136" spans="1:6" x14ac:dyDescent="0.3">
      <c r="A136" s="3">
        <v>269</v>
      </c>
      <c r="B136">
        <v>244</v>
      </c>
      <c r="C136">
        <v>30</v>
      </c>
      <c r="D136">
        <v>857</v>
      </c>
      <c r="E136">
        <v>247</v>
      </c>
      <c r="F136">
        <v>372</v>
      </c>
    </row>
    <row r="137" spans="1:6" x14ac:dyDescent="0.3">
      <c r="A137" s="3">
        <v>270</v>
      </c>
      <c r="B137">
        <v>1238</v>
      </c>
      <c r="C137">
        <v>7</v>
      </c>
      <c r="D137">
        <v>770</v>
      </c>
      <c r="E137">
        <v>607</v>
      </c>
      <c r="F137">
        <v>460</v>
      </c>
    </row>
    <row r="138" spans="1:6" x14ac:dyDescent="0.3">
      <c r="A138" s="3">
        <v>271</v>
      </c>
      <c r="B138">
        <v>601</v>
      </c>
      <c r="C138">
        <v>34</v>
      </c>
      <c r="D138">
        <v>408</v>
      </c>
      <c r="E138">
        <v>1103</v>
      </c>
      <c r="F138">
        <v>391</v>
      </c>
    </row>
    <row r="139" spans="1:6" x14ac:dyDescent="0.3">
      <c r="A139" s="3">
        <v>272</v>
      </c>
      <c r="B139">
        <v>408</v>
      </c>
      <c r="C139">
        <v>44</v>
      </c>
      <c r="D139">
        <v>207</v>
      </c>
      <c r="E139">
        <v>1082</v>
      </c>
      <c r="F139">
        <v>728</v>
      </c>
    </row>
    <row r="140" spans="1:6" x14ac:dyDescent="0.3">
      <c r="A140" s="3">
        <v>273</v>
      </c>
      <c r="B140">
        <v>627</v>
      </c>
      <c r="C140">
        <v>35</v>
      </c>
      <c r="D140">
        <v>249</v>
      </c>
      <c r="E140">
        <v>844</v>
      </c>
      <c r="F140">
        <v>756</v>
      </c>
    </row>
    <row r="141" spans="1:6" x14ac:dyDescent="0.3">
      <c r="A141" s="3">
        <v>274</v>
      </c>
      <c r="B141">
        <v>315</v>
      </c>
      <c r="C141">
        <v>71</v>
      </c>
      <c r="D141">
        <v>147</v>
      </c>
      <c r="E141">
        <v>991</v>
      </c>
      <c r="F141">
        <v>914</v>
      </c>
    </row>
    <row r="142" spans="1:6" x14ac:dyDescent="0.3">
      <c r="A142" s="3">
        <v>275</v>
      </c>
      <c r="B142">
        <v>327</v>
      </c>
      <c r="C142">
        <v>61</v>
      </c>
      <c r="D142">
        <v>95</v>
      </c>
      <c r="E142">
        <v>226</v>
      </c>
      <c r="F142">
        <v>220</v>
      </c>
    </row>
    <row r="143" spans="1:6" x14ac:dyDescent="0.3">
      <c r="A143" s="3">
        <v>276</v>
      </c>
      <c r="B143">
        <v>297</v>
      </c>
      <c r="C143">
        <v>136</v>
      </c>
      <c r="D143">
        <v>76</v>
      </c>
      <c r="E143">
        <v>150</v>
      </c>
      <c r="F143">
        <v>220</v>
      </c>
    </row>
    <row r="144" spans="1:6" x14ac:dyDescent="0.3">
      <c r="A144" s="3">
        <v>277</v>
      </c>
      <c r="B144">
        <v>154</v>
      </c>
      <c r="C144">
        <v>93</v>
      </c>
      <c r="D144">
        <v>222</v>
      </c>
      <c r="E144">
        <v>628</v>
      </c>
      <c r="F144">
        <v>133</v>
      </c>
    </row>
    <row r="145" spans="1:6" x14ac:dyDescent="0.3">
      <c r="A145" s="3">
        <v>278</v>
      </c>
      <c r="B145">
        <v>87</v>
      </c>
      <c r="C145">
        <v>60</v>
      </c>
      <c r="D145">
        <v>167</v>
      </c>
      <c r="E145">
        <v>413</v>
      </c>
      <c r="F145">
        <v>60</v>
      </c>
    </row>
    <row r="146" spans="1:6" x14ac:dyDescent="0.3">
      <c r="A146" s="3">
        <v>279</v>
      </c>
      <c r="B146">
        <v>251</v>
      </c>
      <c r="C146">
        <v>76</v>
      </c>
      <c r="D146">
        <v>23</v>
      </c>
      <c r="E146">
        <v>259</v>
      </c>
      <c r="F146">
        <v>119</v>
      </c>
    </row>
    <row r="147" spans="1:6" x14ac:dyDescent="0.3">
      <c r="A147" s="3">
        <v>280</v>
      </c>
      <c r="B147">
        <v>396</v>
      </c>
      <c r="C147">
        <v>162</v>
      </c>
      <c r="D147">
        <v>-2</v>
      </c>
      <c r="E147">
        <v>141</v>
      </c>
      <c r="F147">
        <v>459</v>
      </c>
    </row>
    <row r="148" spans="1:6" x14ac:dyDescent="0.3">
      <c r="A148" s="3">
        <v>281</v>
      </c>
      <c r="B148">
        <v>278</v>
      </c>
      <c r="C148">
        <v>382</v>
      </c>
      <c r="D148">
        <v>-11</v>
      </c>
      <c r="E148">
        <v>102</v>
      </c>
      <c r="F148">
        <v>293</v>
      </c>
    </row>
    <row r="149" spans="1:6" x14ac:dyDescent="0.3">
      <c r="A149" s="3">
        <v>282</v>
      </c>
      <c r="B149">
        <v>198</v>
      </c>
      <c r="C149">
        <v>288</v>
      </c>
      <c r="D149" s="24">
        <v>154.41376871592499</v>
      </c>
      <c r="E149">
        <v>328</v>
      </c>
      <c r="F149">
        <v>195</v>
      </c>
    </row>
    <row r="150" spans="1:6" x14ac:dyDescent="0.3">
      <c r="A150" s="3">
        <v>283</v>
      </c>
      <c r="B150">
        <v>437</v>
      </c>
      <c r="C150" s="24">
        <v>113.844333154247</v>
      </c>
      <c r="D150" s="24">
        <v>172.29520958356201</v>
      </c>
      <c r="E150">
        <v>386</v>
      </c>
      <c r="F150">
        <v>189</v>
      </c>
    </row>
    <row r="151" spans="1:6" x14ac:dyDescent="0.3">
      <c r="A151" s="3">
        <v>284</v>
      </c>
      <c r="B151">
        <v>360</v>
      </c>
      <c r="C151" s="24">
        <v>88.195609874436499</v>
      </c>
      <c r="D151" s="24">
        <v>133.47771177224601</v>
      </c>
      <c r="E151">
        <v>294</v>
      </c>
      <c r="F151">
        <v>130</v>
      </c>
    </row>
    <row r="152" spans="1:6" x14ac:dyDescent="0.3">
      <c r="A152" s="3">
        <v>285</v>
      </c>
      <c r="B152">
        <v>279</v>
      </c>
      <c r="C152" s="24">
        <v>67.170081505083303</v>
      </c>
      <c r="D152" s="24">
        <v>101.65708691870501</v>
      </c>
      <c r="E152" s="24">
        <v>261.09711146574</v>
      </c>
      <c r="F152">
        <v>57</v>
      </c>
    </row>
    <row r="153" spans="1:6" x14ac:dyDescent="0.3">
      <c r="A153" s="3">
        <v>286</v>
      </c>
      <c r="B153">
        <v>118</v>
      </c>
      <c r="C153" s="24">
        <v>43.667089614392403</v>
      </c>
      <c r="D153" s="24">
        <v>66.086999225707601</v>
      </c>
      <c r="E153" s="24">
        <v>169.73853103886199</v>
      </c>
      <c r="F153" s="24">
        <v>100.43269773798799</v>
      </c>
    </row>
    <row r="154" spans="1:6" x14ac:dyDescent="0.3">
      <c r="A154" s="3"/>
    </row>
    <row r="155" spans="1:6" x14ac:dyDescent="0.3">
      <c r="A155" s="11" t="s">
        <v>2</v>
      </c>
      <c r="B155" s="11">
        <f>SUM(B7:B153)</f>
        <v>8274</v>
      </c>
      <c r="C155" s="11">
        <f>SUM(C7:C149)</f>
        <v>2749</v>
      </c>
      <c r="D155" s="11">
        <f>SUM(D7:D148)</f>
        <v>4006</v>
      </c>
      <c r="E155" s="11">
        <f>SUM(E7:E151)</f>
        <v>11471</v>
      </c>
      <c r="F155" s="11">
        <f>SUM(F7:F103,F117:F152)</f>
        <v>6916</v>
      </c>
    </row>
    <row r="156" spans="1:6" x14ac:dyDescent="0.3">
      <c r="A156" s="11" t="s">
        <v>1</v>
      </c>
      <c r="B156" s="21">
        <f>SUM(B39:B153)</f>
        <v>8274</v>
      </c>
      <c r="C156" s="21">
        <f>SUM(C39:C149)</f>
        <v>2749</v>
      </c>
      <c r="D156" s="21">
        <f>SUM(D39:D148)</f>
        <v>4006</v>
      </c>
      <c r="E156" s="21">
        <f>SUM(E39:E151)</f>
        <v>11471</v>
      </c>
      <c r="F156" s="21">
        <f>SUM(F39:F152)</f>
        <v>6941.7718877205671</v>
      </c>
    </row>
    <row r="157" spans="1:6" x14ac:dyDescent="0.3">
      <c r="A157" s="11" t="s">
        <v>7</v>
      </c>
      <c r="B157" s="21">
        <f>B156-B155</f>
        <v>0</v>
      </c>
      <c r="C157" s="21">
        <f t="shared" ref="C157:F157" si="0">C156-C155</f>
        <v>0</v>
      </c>
      <c r="D157" s="21">
        <f t="shared" si="0"/>
        <v>0</v>
      </c>
      <c r="E157" s="21">
        <f t="shared" si="0"/>
        <v>0</v>
      </c>
      <c r="F157" s="21">
        <f>F156-F155</f>
        <v>25.771887720567065</v>
      </c>
    </row>
    <row r="158" spans="1:6" x14ac:dyDescent="0.3">
      <c r="A158" s="11" t="s">
        <v>8</v>
      </c>
      <c r="B158" s="25">
        <f>B157/B156</f>
        <v>0</v>
      </c>
      <c r="C158" s="25">
        <f t="shared" ref="C158:F158" si="1">C157/C156</f>
        <v>0</v>
      </c>
      <c r="D158" s="25">
        <f t="shared" si="1"/>
        <v>0</v>
      </c>
      <c r="E158" s="25">
        <f t="shared" si="1"/>
        <v>0</v>
      </c>
      <c r="F158" s="25">
        <f t="shared" si="1"/>
        <v>3.7125806116094723E-3</v>
      </c>
    </row>
  </sheetData>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EBD5C-F4D3-4E6E-B4C9-7A847BAFEDC9}">
  <sheetPr codeName="Sheet2"/>
  <dimension ref="A1:AM125"/>
  <sheetViews>
    <sheetView zoomScale="85" zoomScaleNormal="85" workbookViewId="0">
      <pane xSplit="1" ySplit="6" topLeftCell="B106" activePane="bottomRight" state="frozen"/>
      <selection pane="topRight" activeCell="B1" sqref="B1"/>
      <selection pane="bottomLeft" activeCell="A6" sqref="A6"/>
      <selection pane="bottomRight" activeCell="H3" sqref="H3"/>
    </sheetView>
  </sheetViews>
  <sheetFormatPr defaultRowHeight="14.4" x14ac:dyDescent="0.3"/>
  <cols>
    <col min="1" max="1" width="17.6640625" customWidth="1"/>
    <col min="7" max="7" width="12.5546875" bestFit="1" customWidth="1"/>
    <col min="8" max="8" width="11.5546875" bestFit="1" customWidth="1"/>
    <col min="9" max="9" width="13.6640625" bestFit="1" customWidth="1"/>
  </cols>
  <sheetData>
    <row r="1" spans="1:35" x14ac:dyDescent="0.3">
      <c r="A1" s="5" t="s">
        <v>3</v>
      </c>
    </row>
    <row r="2" spans="1:35" x14ac:dyDescent="0.3">
      <c r="A2" s="9" t="s">
        <v>10</v>
      </c>
      <c r="H2" s="19" t="s">
        <v>13</v>
      </c>
      <c r="I2" s="19"/>
    </row>
    <row r="3" spans="1:35" x14ac:dyDescent="0.3">
      <c r="A3" s="10" t="s">
        <v>9</v>
      </c>
      <c r="H3" s="18">
        <f>(SUM(B16:AI16)*SUM(G7:G120))/SUM(B7:AI120)</f>
        <v>3.6883880723941338E-2</v>
      </c>
      <c r="I3" s="16">
        <f>(SUM(B92:AI92)*SUM(V7:V120))/SUM(B7:AI120)</f>
        <v>493.90061398086516</v>
      </c>
    </row>
    <row r="4" spans="1:35" x14ac:dyDescent="0.3">
      <c r="H4" s="14"/>
    </row>
    <row r="5" spans="1:35" x14ac:dyDescent="0.3">
      <c r="A5" t="s">
        <v>4</v>
      </c>
    </row>
    <row r="6" spans="1:35" x14ac:dyDescent="0.3">
      <c r="A6" t="s">
        <v>0</v>
      </c>
      <c r="B6">
        <v>1988</v>
      </c>
      <c r="C6">
        <v>1989</v>
      </c>
      <c r="D6">
        <v>1990</v>
      </c>
      <c r="E6">
        <v>1991</v>
      </c>
      <c r="F6">
        <v>1992</v>
      </c>
      <c r="G6">
        <v>1993</v>
      </c>
      <c r="H6">
        <v>1994</v>
      </c>
      <c r="I6">
        <v>1995</v>
      </c>
      <c r="J6">
        <v>1996</v>
      </c>
      <c r="K6">
        <v>1997</v>
      </c>
      <c r="L6">
        <v>1998</v>
      </c>
      <c r="M6">
        <v>1999</v>
      </c>
      <c r="N6">
        <v>2000</v>
      </c>
      <c r="O6">
        <v>2001</v>
      </c>
      <c r="P6">
        <v>2002</v>
      </c>
      <c r="Q6">
        <v>2003</v>
      </c>
      <c r="R6">
        <v>2004</v>
      </c>
      <c r="S6">
        <v>2005</v>
      </c>
      <c r="T6">
        <v>2006</v>
      </c>
      <c r="U6">
        <v>2007</v>
      </c>
      <c r="V6">
        <v>2008</v>
      </c>
      <c r="W6">
        <v>2009</v>
      </c>
      <c r="X6">
        <v>2010</v>
      </c>
      <c r="Y6">
        <v>2011</v>
      </c>
      <c r="Z6">
        <v>2012</v>
      </c>
      <c r="AA6">
        <v>2013</v>
      </c>
      <c r="AB6">
        <v>2014</v>
      </c>
      <c r="AC6">
        <v>2015</v>
      </c>
      <c r="AD6">
        <v>2016</v>
      </c>
      <c r="AE6">
        <v>2017</v>
      </c>
      <c r="AF6">
        <v>2018</v>
      </c>
      <c r="AG6">
        <v>2019</v>
      </c>
      <c r="AH6">
        <v>2020</v>
      </c>
      <c r="AI6">
        <v>2021</v>
      </c>
    </row>
    <row r="7" spans="1:35" x14ac:dyDescent="0.3">
      <c r="A7" s="3">
        <v>121</v>
      </c>
      <c r="B7" s="3">
        <v>0</v>
      </c>
      <c r="C7" s="3">
        <v>0</v>
      </c>
      <c r="D7" s="3">
        <v>0</v>
      </c>
      <c r="E7" s="3">
        <v>0</v>
      </c>
      <c r="F7" s="3">
        <v>0</v>
      </c>
      <c r="G7" s="3">
        <v>0</v>
      </c>
      <c r="H7" s="3">
        <v>0</v>
      </c>
      <c r="I7" s="3">
        <v>0</v>
      </c>
      <c r="J7" s="3">
        <v>0</v>
      </c>
      <c r="K7" s="3">
        <v>0</v>
      </c>
      <c r="L7" s="3">
        <v>0</v>
      </c>
      <c r="M7" s="3">
        <v>0</v>
      </c>
      <c r="N7" s="3">
        <v>0</v>
      </c>
      <c r="O7" s="3">
        <v>0</v>
      </c>
      <c r="P7" s="3">
        <v>0</v>
      </c>
      <c r="Q7" s="3">
        <v>0</v>
      </c>
      <c r="R7" s="3">
        <v>0</v>
      </c>
      <c r="S7" s="3">
        <v>0</v>
      </c>
      <c r="T7" s="3">
        <v>0</v>
      </c>
      <c r="U7" s="3">
        <v>0</v>
      </c>
      <c r="V7" s="3">
        <v>0</v>
      </c>
      <c r="W7" s="3">
        <v>0</v>
      </c>
      <c r="X7" s="3">
        <v>0</v>
      </c>
      <c r="Y7" s="3">
        <v>0</v>
      </c>
      <c r="Z7" s="3">
        <v>0</v>
      </c>
      <c r="AA7" s="3">
        <v>0</v>
      </c>
      <c r="AB7">
        <v>0</v>
      </c>
      <c r="AC7" s="3">
        <v>0</v>
      </c>
      <c r="AD7" s="3">
        <v>0</v>
      </c>
      <c r="AE7" s="3">
        <v>0</v>
      </c>
      <c r="AF7" s="3">
        <v>0</v>
      </c>
      <c r="AG7" s="3">
        <v>0</v>
      </c>
      <c r="AH7" s="3">
        <v>0</v>
      </c>
      <c r="AI7" s="3">
        <v>0</v>
      </c>
    </row>
    <row r="8" spans="1:35" x14ac:dyDescent="0.3">
      <c r="A8" s="3">
        <v>122</v>
      </c>
      <c r="B8" s="3">
        <v>0</v>
      </c>
      <c r="C8" s="3">
        <v>0</v>
      </c>
      <c r="D8" s="3">
        <v>0</v>
      </c>
      <c r="E8" s="3">
        <v>0</v>
      </c>
      <c r="F8" s="3">
        <v>0</v>
      </c>
      <c r="G8" s="3">
        <v>0</v>
      </c>
      <c r="H8" s="3">
        <v>0</v>
      </c>
      <c r="I8" s="3">
        <v>0</v>
      </c>
      <c r="J8" s="3">
        <v>0</v>
      </c>
      <c r="K8" s="3">
        <v>0</v>
      </c>
      <c r="L8" s="3">
        <v>0</v>
      </c>
      <c r="M8" s="3">
        <v>0</v>
      </c>
      <c r="N8" s="3">
        <v>0</v>
      </c>
      <c r="O8" s="3">
        <v>0</v>
      </c>
      <c r="P8" s="3">
        <v>0</v>
      </c>
      <c r="Q8" s="3">
        <v>0</v>
      </c>
      <c r="R8" s="3">
        <v>0</v>
      </c>
      <c r="S8" s="3">
        <v>0</v>
      </c>
      <c r="T8" s="3">
        <v>0</v>
      </c>
      <c r="U8" s="3">
        <v>0</v>
      </c>
      <c r="V8" s="3">
        <v>0</v>
      </c>
      <c r="W8" s="3">
        <v>0</v>
      </c>
      <c r="X8" s="3">
        <v>0</v>
      </c>
      <c r="Y8" s="3">
        <v>0</v>
      </c>
      <c r="Z8" s="3">
        <v>0</v>
      </c>
      <c r="AA8" s="3">
        <v>0</v>
      </c>
      <c r="AB8">
        <v>0</v>
      </c>
      <c r="AC8" s="3">
        <v>0</v>
      </c>
      <c r="AD8" s="3">
        <v>0</v>
      </c>
      <c r="AE8" s="3">
        <v>0</v>
      </c>
      <c r="AF8" s="3">
        <v>0</v>
      </c>
      <c r="AG8" s="3">
        <v>0</v>
      </c>
      <c r="AH8" s="3">
        <v>0</v>
      </c>
      <c r="AI8" s="3">
        <v>0</v>
      </c>
    </row>
    <row r="9" spans="1:35" x14ac:dyDescent="0.3">
      <c r="A9" s="3">
        <v>123</v>
      </c>
      <c r="B9" s="3">
        <v>0</v>
      </c>
      <c r="C9" s="3">
        <v>0</v>
      </c>
      <c r="D9" s="3">
        <v>0</v>
      </c>
      <c r="E9" s="3">
        <v>0</v>
      </c>
      <c r="F9" s="3">
        <v>0</v>
      </c>
      <c r="G9" s="3">
        <v>0</v>
      </c>
      <c r="H9" s="3">
        <v>0</v>
      </c>
      <c r="I9" s="3">
        <v>0</v>
      </c>
      <c r="J9" s="3">
        <v>0</v>
      </c>
      <c r="K9" s="3">
        <v>0</v>
      </c>
      <c r="L9" s="3">
        <v>0</v>
      </c>
      <c r="M9" s="3">
        <v>0</v>
      </c>
      <c r="N9" s="3">
        <v>0</v>
      </c>
      <c r="O9" s="3">
        <v>0</v>
      </c>
      <c r="P9" s="3">
        <v>0</v>
      </c>
      <c r="Q9" s="3">
        <v>0</v>
      </c>
      <c r="R9" s="3">
        <v>0</v>
      </c>
      <c r="S9" s="3">
        <v>0</v>
      </c>
      <c r="T9" s="3">
        <v>0</v>
      </c>
      <c r="U9" s="3">
        <v>0</v>
      </c>
      <c r="V9" s="3">
        <v>0</v>
      </c>
      <c r="W9" s="3">
        <v>0</v>
      </c>
      <c r="X9" s="3">
        <v>0</v>
      </c>
      <c r="Y9" s="3">
        <v>0</v>
      </c>
      <c r="Z9" s="3">
        <v>0</v>
      </c>
      <c r="AA9" s="3">
        <v>0</v>
      </c>
      <c r="AB9">
        <v>0</v>
      </c>
      <c r="AC9" s="3">
        <v>0</v>
      </c>
      <c r="AD9" s="3">
        <v>0</v>
      </c>
      <c r="AE9" s="3">
        <v>0</v>
      </c>
      <c r="AF9" s="3">
        <v>0</v>
      </c>
      <c r="AG9" s="3">
        <v>0</v>
      </c>
      <c r="AH9" s="3">
        <v>0</v>
      </c>
      <c r="AI9" s="3">
        <v>0</v>
      </c>
    </row>
    <row r="10" spans="1:35" x14ac:dyDescent="0.3">
      <c r="A10" s="3">
        <v>124</v>
      </c>
      <c r="B10" s="3">
        <v>0</v>
      </c>
      <c r="C10" s="3">
        <v>0</v>
      </c>
      <c r="D10" s="3">
        <v>0</v>
      </c>
      <c r="E10" s="3">
        <v>0</v>
      </c>
      <c r="F10" s="3">
        <v>0</v>
      </c>
      <c r="G10" s="3">
        <v>0</v>
      </c>
      <c r="H10" s="3">
        <v>0</v>
      </c>
      <c r="I10" s="3">
        <v>0</v>
      </c>
      <c r="J10" s="3">
        <v>0</v>
      </c>
      <c r="K10" s="3">
        <v>0</v>
      </c>
      <c r="L10" s="3">
        <v>0</v>
      </c>
      <c r="M10" s="3">
        <v>0</v>
      </c>
      <c r="N10" s="3">
        <v>0</v>
      </c>
      <c r="O10" s="3">
        <v>0</v>
      </c>
      <c r="P10" s="3">
        <v>0</v>
      </c>
      <c r="Q10" s="3">
        <v>0</v>
      </c>
      <c r="R10" s="3">
        <v>0</v>
      </c>
      <c r="S10" s="3">
        <v>0</v>
      </c>
      <c r="T10" s="3">
        <v>0</v>
      </c>
      <c r="U10" s="3">
        <v>0</v>
      </c>
      <c r="V10" s="3">
        <v>0</v>
      </c>
      <c r="W10" s="3">
        <v>0</v>
      </c>
      <c r="X10" s="3">
        <v>0</v>
      </c>
      <c r="Y10" s="3">
        <v>0</v>
      </c>
      <c r="Z10" s="3">
        <v>0</v>
      </c>
      <c r="AA10" s="3">
        <v>0</v>
      </c>
      <c r="AB10">
        <v>0</v>
      </c>
      <c r="AC10" s="3">
        <v>0</v>
      </c>
      <c r="AD10" s="3">
        <v>0</v>
      </c>
      <c r="AE10" s="3">
        <v>0</v>
      </c>
      <c r="AF10" s="3">
        <v>0</v>
      </c>
      <c r="AG10" s="3">
        <v>0</v>
      </c>
      <c r="AH10" s="3">
        <v>0</v>
      </c>
      <c r="AI10" s="3">
        <v>0</v>
      </c>
    </row>
    <row r="11" spans="1:35" x14ac:dyDescent="0.3">
      <c r="A11" s="3">
        <v>125</v>
      </c>
      <c r="B11" s="3">
        <v>0</v>
      </c>
      <c r="C11" s="3">
        <v>0</v>
      </c>
      <c r="D11" s="3">
        <v>0</v>
      </c>
      <c r="E11" s="3">
        <v>0</v>
      </c>
      <c r="F11" s="3">
        <v>0</v>
      </c>
      <c r="G11" s="3">
        <v>0</v>
      </c>
      <c r="H11" s="3">
        <v>0</v>
      </c>
      <c r="I11" s="3">
        <v>0</v>
      </c>
      <c r="J11" s="3">
        <v>0</v>
      </c>
      <c r="K11" s="3">
        <v>0</v>
      </c>
      <c r="L11" s="3">
        <v>0</v>
      </c>
      <c r="M11" s="3">
        <v>0</v>
      </c>
      <c r="N11" s="3">
        <v>0</v>
      </c>
      <c r="O11" s="3">
        <v>0</v>
      </c>
      <c r="P11" s="3">
        <v>0</v>
      </c>
      <c r="Q11" s="3">
        <v>0</v>
      </c>
      <c r="R11" s="3">
        <v>0</v>
      </c>
      <c r="S11" s="3">
        <v>0</v>
      </c>
      <c r="T11" s="3">
        <v>0</v>
      </c>
      <c r="U11" s="3">
        <v>0</v>
      </c>
      <c r="V11" s="3">
        <v>0</v>
      </c>
      <c r="W11" s="3">
        <v>0</v>
      </c>
      <c r="X11" s="3">
        <v>0</v>
      </c>
      <c r="Y11" s="3">
        <v>0</v>
      </c>
      <c r="Z11" s="3">
        <v>0</v>
      </c>
      <c r="AA11" s="3">
        <v>0</v>
      </c>
      <c r="AB11">
        <v>0</v>
      </c>
      <c r="AC11" s="3">
        <v>0</v>
      </c>
      <c r="AD11" s="3">
        <v>0</v>
      </c>
      <c r="AE11" s="3">
        <v>0</v>
      </c>
      <c r="AF11" s="3">
        <v>0</v>
      </c>
      <c r="AG11" s="3">
        <v>0</v>
      </c>
      <c r="AH11" s="3">
        <v>0</v>
      </c>
      <c r="AI11" s="3">
        <v>0</v>
      </c>
    </row>
    <row r="12" spans="1:35" x14ac:dyDescent="0.3">
      <c r="A12" s="3">
        <v>126</v>
      </c>
      <c r="B12" s="3">
        <v>0</v>
      </c>
      <c r="C12" s="3">
        <v>0</v>
      </c>
      <c r="D12" s="3">
        <v>0</v>
      </c>
      <c r="E12" s="3">
        <v>0</v>
      </c>
      <c r="F12" s="3">
        <v>0</v>
      </c>
      <c r="G12" s="3">
        <v>0</v>
      </c>
      <c r="H12" s="3">
        <v>0</v>
      </c>
      <c r="I12" s="3">
        <v>0</v>
      </c>
      <c r="J12" s="3">
        <v>0</v>
      </c>
      <c r="K12" s="3">
        <v>0</v>
      </c>
      <c r="L12" s="3">
        <v>0</v>
      </c>
      <c r="M12" s="3">
        <v>0</v>
      </c>
      <c r="N12" s="3">
        <v>0</v>
      </c>
      <c r="O12" s="3">
        <v>0</v>
      </c>
      <c r="P12" s="3">
        <v>0</v>
      </c>
      <c r="Q12" s="3">
        <v>0</v>
      </c>
      <c r="R12" s="3">
        <v>0</v>
      </c>
      <c r="S12" s="3">
        <v>0</v>
      </c>
      <c r="T12" s="3">
        <v>0</v>
      </c>
      <c r="U12" s="3">
        <v>0</v>
      </c>
      <c r="V12" s="3">
        <v>0</v>
      </c>
      <c r="W12" s="3">
        <v>0</v>
      </c>
      <c r="X12" s="3">
        <v>0</v>
      </c>
      <c r="Y12" s="3">
        <v>0</v>
      </c>
      <c r="Z12" s="3">
        <v>0</v>
      </c>
      <c r="AA12">
        <v>0</v>
      </c>
      <c r="AB12">
        <v>0</v>
      </c>
      <c r="AC12" s="3">
        <v>0</v>
      </c>
      <c r="AD12" s="3">
        <v>0</v>
      </c>
      <c r="AE12" s="3">
        <v>0</v>
      </c>
      <c r="AF12" s="3">
        <v>0</v>
      </c>
      <c r="AG12" s="3">
        <v>0</v>
      </c>
      <c r="AH12" s="3">
        <v>0</v>
      </c>
      <c r="AI12" s="3">
        <v>0</v>
      </c>
    </row>
    <row r="13" spans="1:35" x14ac:dyDescent="0.3">
      <c r="A13" s="3">
        <v>127</v>
      </c>
      <c r="B13" s="3">
        <v>0</v>
      </c>
      <c r="C13" s="3">
        <v>0</v>
      </c>
      <c r="D13" s="3">
        <v>0</v>
      </c>
      <c r="E13" s="3">
        <v>0</v>
      </c>
      <c r="F13">
        <v>0</v>
      </c>
      <c r="G13" s="3">
        <v>0</v>
      </c>
      <c r="H13" s="3">
        <v>0</v>
      </c>
      <c r="I13" s="3">
        <v>0</v>
      </c>
      <c r="J13" s="3">
        <v>0</v>
      </c>
      <c r="K13" s="3">
        <v>0</v>
      </c>
      <c r="L13" s="3">
        <v>0</v>
      </c>
      <c r="M13">
        <v>0</v>
      </c>
      <c r="N13" s="3">
        <v>0</v>
      </c>
      <c r="O13" s="3">
        <v>0</v>
      </c>
      <c r="P13" s="3">
        <v>0</v>
      </c>
      <c r="Q13" s="3">
        <v>0</v>
      </c>
      <c r="R13" s="3">
        <v>0</v>
      </c>
      <c r="S13" s="3">
        <v>0</v>
      </c>
      <c r="T13" s="3">
        <v>0</v>
      </c>
      <c r="U13" s="3">
        <v>0</v>
      </c>
      <c r="V13" s="3">
        <v>0</v>
      </c>
      <c r="W13" s="3">
        <v>0</v>
      </c>
      <c r="X13" s="3">
        <v>0</v>
      </c>
      <c r="Y13" s="3">
        <v>0</v>
      </c>
      <c r="Z13" s="3">
        <v>0</v>
      </c>
      <c r="AA13">
        <v>0</v>
      </c>
      <c r="AB13">
        <v>0</v>
      </c>
      <c r="AC13">
        <v>0</v>
      </c>
      <c r="AD13">
        <v>0</v>
      </c>
      <c r="AE13">
        <v>0</v>
      </c>
      <c r="AF13">
        <v>0</v>
      </c>
      <c r="AG13" s="3">
        <v>0</v>
      </c>
      <c r="AH13" s="3">
        <v>0</v>
      </c>
      <c r="AI13" s="3">
        <v>0</v>
      </c>
    </row>
    <row r="14" spans="1:35" x14ac:dyDescent="0.3">
      <c r="A14" s="3">
        <v>128</v>
      </c>
      <c r="B14" s="3">
        <v>0</v>
      </c>
      <c r="C14" s="3">
        <v>0</v>
      </c>
      <c r="D14">
        <v>0</v>
      </c>
      <c r="E14" s="3">
        <v>0</v>
      </c>
      <c r="F14">
        <v>0</v>
      </c>
      <c r="G14">
        <v>0</v>
      </c>
      <c r="H14" s="3">
        <v>0</v>
      </c>
      <c r="I14" s="3">
        <v>0</v>
      </c>
      <c r="J14" s="3">
        <v>0</v>
      </c>
      <c r="K14" s="3">
        <v>0</v>
      </c>
      <c r="L14" s="3">
        <v>0</v>
      </c>
      <c r="M14">
        <v>0</v>
      </c>
      <c r="N14">
        <v>0</v>
      </c>
      <c r="O14" s="3">
        <v>0</v>
      </c>
      <c r="P14" s="3">
        <v>0</v>
      </c>
      <c r="Q14" s="3">
        <v>0</v>
      </c>
      <c r="R14" s="3">
        <v>0</v>
      </c>
      <c r="S14" s="3">
        <v>0</v>
      </c>
      <c r="T14" s="3">
        <v>0</v>
      </c>
      <c r="U14" s="3">
        <v>0</v>
      </c>
      <c r="V14" s="3">
        <v>0</v>
      </c>
      <c r="W14" s="3">
        <v>0</v>
      </c>
      <c r="X14" s="3">
        <v>0</v>
      </c>
      <c r="Y14" s="3">
        <v>0</v>
      </c>
      <c r="Z14">
        <v>0</v>
      </c>
      <c r="AA14">
        <v>0</v>
      </c>
      <c r="AB14">
        <v>0</v>
      </c>
      <c r="AC14">
        <v>0</v>
      </c>
      <c r="AD14">
        <v>0</v>
      </c>
      <c r="AE14">
        <v>0</v>
      </c>
      <c r="AF14">
        <v>0</v>
      </c>
      <c r="AG14" s="3">
        <v>0</v>
      </c>
      <c r="AH14" s="3">
        <v>0</v>
      </c>
      <c r="AI14" s="3">
        <v>0</v>
      </c>
    </row>
    <row r="15" spans="1:35" x14ac:dyDescent="0.3">
      <c r="A15" s="3">
        <v>129</v>
      </c>
      <c r="B15" s="3">
        <v>0</v>
      </c>
      <c r="C15">
        <v>0</v>
      </c>
      <c r="D15">
        <v>0</v>
      </c>
      <c r="E15" s="3">
        <v>0</v>
      </c>
      <c r="F15">
        <v>0</v>
      </c>
      <c r="G15">
        <v>0</v>
      </c>
      <c r="H15">
        <v>0</v>
      </c>
      <c r="I15" s="3">
        <v>0</v>
      </c>
      <c r="J15" s="3">
        <v>0</v>
      </c>
      <c r="K15">
        <v>0</v>
      </c>
      <c r="L15">
        <v>0</v>
      </c>
      <c r="M15">
        <v>0</v>
      </c>
      <c r="N15">
        <v>0</v>
      </c>
      <c r="O15" s="3">
        <v>0</v>
      </c>
      <c r="P15" s="3">
        <v>0</v>
      </c>
      <c r="Q15" s="3">
        <v>0</v>
      </c>
      <c r="R15">
        <v>0</v>
      </c>
      <c r="S15" s="3">
        <v>0</v>
      </c>
      <c r="T15">
        <v>0</v>
      </c>
      <c r="U15">
        <v>0</v>
      </c>
      <c r="V15" s="3">
        <v>0</v>
      </c>
      <c r="W15" s="3">
        <v>0</v>
      </c>
      <c r="X15" s="3">
        <v>0</v>
      </c>
      <c r="Y15" s="3">
        <v>0</v>
      </c>
      <c r="Z15">
        <v>0</v>
      </c>
      <c r="AA15">
        <v>0</v>
      </c>
      <c r="AB15">
        <v>0</v>
      </c>
      <c r="AC15">
        <v>0</v>
      </c>
      <c r="AD15">
        <v>0</v>
      </c>
      <c r="AE15">
        <v>0</v>
      </c>
      <c r="AF15">
        <v>0</v>
      </c>
      <c r="AG15" s="3">
        <v>0</v>
      </c>
      <c r="AH15" s="3">
        <v>0</v>
      </c>
      <c r="AI15" s="3">
        <v>0</v>
      </c>
    </row>
    <row r="16" spans="1:35" x14ac:dyDescent="0.3">
      <c r="A16" s="3">
        <v>130</v>
      </c>
      <c r="B16" s="3">
        <v>2.4816097869450701E-2</v>
      </c>
      <c r="C16">
        <v>4.4433109558735903E-2</v>
      </c>
      <c r="D16">
        <v>0</v>
      </c>
      <c r="E16" s="3">
        <v>0</v>
      </c>
      <c r="F16">
        <v>0</v>
      </c>
      <c r="G16" s="18">
        <v>3.6883877349238002E-2</v>
      </c>
      <c r="H16">
        <v>4.2356740070300297E-2</v>
      </c>
      <c r="I16" s="3">
        <v>0</v>
      </c>
      <c r="J16" s="3">
        <v>0</v>
      </c>
      <c r="K16">
        <v>0</v>
      </c>
      <c r="L16">
        <v>0</v>
      </c>
      <c r="M16">
        <v>0</v>
      </c>
      <c r="N16">
        <v>0</v>
      </c>
      <c r="O16" s="3">
        <v>0</v>
      </c>
      <c r="P16" s="3">
        <v>0</v>
      </c>
      <c r="Q16" s="3">
        <v>0</v>
      </c>
      <c r="R16">
        <v>0</v>
      </c>
      <c r="S16" s="3">
        <v>0</v>
      </c>
      <c r="T16">
        <v>0</v>
      </c>
      <c r="U16">
        <v>0</v>
      </c>
      <c r="V16">
        <v>1.5847199509871901E-2</v>
      </c>
      <c r="W16" s="3">
        <v>0</v>
      </c>
      <c r="X16" s="3">
        <v>0</v>
      </c>
      <c r="Y16">
        <v>0</v>
      </c>
      <c r="Z16">
        <v>3.4927718366116099E-2</v>
      </c>
      <c r="AA16">
        <v>6.9412564154696696E-2</v>
      </c>
      <c r="AB16">
        <v>1</v>
      </c>
      <c r="AC16">
        <v>0</v>
      </c>
      <c r="AD16">
        <v>0</v>
      </c>
      <c r="AE16">
        <v>0</v>
      </c>
      <c r="AF16">
        <v>1.5073546339152999E-2</v>
      </c>
      <c r="AG16" s="3">
        <v>0</v>
      </c>
      <c r="AH16" s="3">
        <v>3.5421879793006698E-2</v>
      </c>
      <c r="AI16" s="3">
        <v>0</v>
      </c>
    </row>
    <row r="17" spans="1:35" x14ac:dyDescent="0.3">
      <c r="A17" s="3">
        <v>131</v>
      </c>
      <c r="B17" s="3">
        <v>4.8857934316004603E-2</v>
      </c>
      <c r="C17">
        <v>8.7479907586309996E-2</v>
      </c>
      <c r="D17">
        <v>0</v>
      </c>
      <c r="E17" s="3">
        <v>0</v>
      </c>
      <c r="F17">
        <v>0</v>
      </c>
      <c r="G17">
        <v>7.2616978959156794E-2</v>
      </c>
      <c r="H17">
        <v>8.3391951267063294E-2</v>
      </c>
      <c r="I17">
        <v>0</v>
      </c>
      <c r="J17">
        <v>0</v>
      </c>
      <c r="K17">
        <v>0</v>
      </c>
      <c r="L17">
        <v>0</v>
      </c>
      <c r="M17">
        <v>0</v>
      </c>
      <c r="N17">
        <v>0</v>
      </c>
      <c r="O17" s="3">
        <v>0</v>
      </c>
      <c r="P17" s="3">
        <v>0</v>
      </c>
      <c r="Q17">
        <v>0</v>
      </c>
      <c r="R17">
        <v>0</v>
      </c>
      <c r="S17">
        <v>0</v>
      </c>
      <c r="T17">
        <v>0</v>
      </c>
      <c r="U17">
        <v>0</v>
      </c>
      <c r="V17">
        <v>0</v>
      </c>
      <c r="W17">
        <v>0</v>
      </c>
      <c r="X17" s="3">
        <v>0</v>
      </c>
      <c r="Y17">
        <v>0</v>
      </c>
      <c r="Z17">
        <v>6.8765693077859999E-2</v>
      </c>
      <c r="AA17">
        <v>0.13665945860974599</v>
      </c>
      <c r="AB17">
        <v>2</v>
      </c>
      <c r="AC17">
        <v>0</v>
      </c>
      <c r="AD17">
        <v>0</v>
      </c>
      <c r="AE17">
        <v>0</v>
      </c>
      <c r="AF17">
        <v>2.9676798532147101E-2</v>
      </c>
      <c r="AG17" s="3">
        <v>0</v>
      </c>
      <c r="AH17" s="3">
        <v>6.9738598110414496E-2</v>
      </c>
      <c r="AI17">
        <v>0</v>
      </c>
    </row>
    <row r="18" spans="1:35" x14ac:dyDescent="0.3">
      <c r="A18" s="3">
        <v>132</v>
      </c>
      <c r="B18" s="3">
        <v>2.4428967157932999E-2</v>
      </c>
      <c r="C18">
        <v>4.3739953793153603E-2</v>
      </c>
      <c r="D18">
        <v>0</v>
      </c>
      <c r="E18">
        <v>0</v>
      </c>
      <c r="F18">
        <v>0</v>
      </c>
      <c r="G18">
        <v>3.63084894795788E-2</v>
      </c>
      <c r="H18">
        <v>4.1695975633532001E-2</v>
      </c>
      <c r="I18">
        <v>0</v>
      </c>
      <c r="J18">
        <v>0</v>
      </c>
      <c r="K18">
        <v>0</v>
      </c>
      <c r="L18">
        <v>0</v>
      </c>
      <c r="M18">
        <v>0</v>
      </c>
      <c r="N18">
        <v>0</v>
      </c>
      <c r="O18">
        <v>0</v>
      </c>
      <c r="P18" s="3">
        <v>0</v>
      </c>
      <c r="Q18">
        <v>0</v>
      </c>
      <c r="R18">
        <v>0</v>
      </c>
      <c r="S18">
        <v>0</v>
      </c>
      <c r="T18">
        <v>0</v>
      </c>
      <c r="U18">
        <v>0</v>
      </c>
      <c r="V18">
        <v>0</v>
      </c>
      <c r="W18">
        <v>0</v>
      </c>
      <c r="X18" s="3">
        <v>0</v>
      </c>
      <c r="Y18">
        <v>0</v>
      </c>
      <c r="Z18">
        <v>3.4382846538928202E-2</v>
      </c>
      <c r="AA18">
        <v>6.8329729304869594E-2</v>
      </c>
      <c r="AB18">
        <v>1</v>
      </c>
      <c r="AC18">
        <v>0</v>
      </c>
      <c r="AD18">
        <v>0</v>
      </c>
      <c r="AE18">
        <v>0</v>
      </c>
      <c r="AF18">
        <v>1.4838399266072401E-2</v>
      </c>
      <c r="AG18">
        <v>0</v>
      </c>
      <c r="AH18" s="3">
        <v>3.4869299055204403E-2</v>
      </c>
      <c r="AI18">
        <v>0</v>
      </c>
    </row>
    <row r="19" spans="1:35" x14ac:dyDescent="0.3">
      <c r="A19" s="3">
        <v>133</v>
      </c>
      <c r="B19" s="3">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s="3">
        <v>0</v>
      </c>
      <c r="Y19">
        <v>0</v>
      </c>
      <c r="Z19">
        <v>0</v>
      </c>
      <c r="AA19">
        <v>0</v>
      </c>
      <c r="AB19">
        <v>0</v>
      </c>
      <c r="AC19">
        <v>0</v>
      </c>
      <c r="AD19">
        <v>0</v>
      </c>
      <c r="AE19">
        <v>0</v>
      </c>
      <c r="AF19">
        <v>0</v>
      </c>
      <c r="AG19">
        <v>0</v>
      </c>
      <c r="AH19">
        <v>0</v>
      </c>
      <c r="AI19">
        <v>0</v>
      </c>
    </row>
    <row r="20" spans="1:35" x14ac:dyDescent="0.3">
      <c r="A20" s="3">
        <v>134</v>
      </c>
      <c r="B20">
        <v>2.3605847745996299E-2</v>
      </c>
      <c r="C20">
        <v>4.2266162257949103E-2</v>
      </c>
      <c r="D20">
        <v>0</v>
      </c>
      <c r="E20">
        <v>0</v>
      </c>
      <c r="F20">
        <v>0</v>
      </c>
      <c r="G20">
        <v>3.5085096683608499E-2</v>
      </c>
      <c r="H20">
        <v>4.0291054721771198E-2</v>
      </c>
      <c r="I20">
        <v>0</v>
      </c>
      <c r="J20">
        <v>0</v>
      </c>
      <c r="K20">
        <v>0</v>
      </c>
      <c r="L20">
        <v>0</v>
      </c>
      <c r="M20">
        <v>0</v>
      </c>
      <c r="N20">
        <v>0</v>
      </c>
      <c r="O20">
        <v>0</v>
      </c>
      <c r="P20">
        <v>0</v>
      </c>
      <c r="Q20">
        <v>0</v>
      </c>
      <c r="R20">
        <v>0</v>
      </c>
      <c r="S20">
        <v>0</v>
      </c>
      <c r="T20">
        <v>0</v>
      </c>
      <c r="U20">
        <v>0</v>
      </c>
      <c r="V20">
        <v>0</v>
      </c>
      <c r="W20">
        <v>0</v>
      </c>
      <c r="X20">
        <v>0</v>
      </c>
      <c r="Y20">
        <v>0</v>
      </c>
      <c r="Z20">
        <v>3.3224337131197101E-2</v>
      </c>
      <c r="AA20">
        <v>6.6027400030300304E-2</v>
      </c>
      <c r="AB20">
        <v>1</v>
      </c>
      <c r="AC20">
        <v>0</v>
      </c>
      <c r="AD20">
        <v>0</v>
      </c>
      <c r="AE20">
        <v>0</v>
      </c>
      <c r="AF20">
        <v>1.4338428297626001E-2</v>
      </c>
      <c r="AG20">
        <v>0</v>
      </c>
      <c r="AH20">
        <v>0</v>
      </c>
      <c r="AI20">
        <v>0</v>
      </c>
    </row>
    <row r="21" spans="1:35" x14ac:dyDescent="0.3">
      <c r="A21" s="3">
        <v>135</v>
      </c>
      <c r="B21">
        <v>7.0817543237892994E-2</v>
      </c>
      <c r="C21">
        <v>0.126798486773856</v>
      </c>
      <c r="D21">
        <v>0</v>
      </c>
      <c r="E21">
        <v>0</v>
      </c>
      <c r="F21">
        <v>0</v>
      </c>
      <c r="G21">
        <v>0.10525529005083401</v>
      </c>
      <c r="H21">
        <v>0.120873164165324</v>
      </c>
      <c r="I21">
        <v>0</v>
      </c>
      <c r="J21">
        <v>0</v>
      </c>
      <c r="K21">
        <v>0</v>
      </c>
      <c r="L21">
        <v>0</v>
      </c>
      <c r="M21">
        <v>0</v>
      </c>
      <c r="N21">
        <v>0</v>
      </c>
      <c r="O21">
        <v>0</v>
      </c>
      <c r="P21">
        <v>0</v>
      </c>
      <c r="Q21">
        <v>0</v>
      </c>
      <c r="R21">
        <v>0</v>
      </c>
      <c r="S21">
        <v>0</v>
      </c>
      <c r="T21">
        <v>0</v>
      </c>
      <c r="U21">
        <v>0</v>
      </c>
      <c r="V21">
        <v>0</v>
      </c>
      <c r="W21">
        <v>0</v>
      </c>
      <c r="X21">
        <v>0</v>
      </c>
      <c r="Y21">
        <v>3</v>
      </c>
      <c r="Z21">
        <v>9.9673011393596606E-2</v>
      </c>
      <c r="AA21">
        <v>0.19808220009091099</v>
      </c>
      <c r="AB21">
        <v>0</v>
      </c>
      <c r="AC21">
        <v>0</v>
      </c>
      <c r="AD21">
        <v>0</v>
      </c>
      <c r="AE21">
        <v>0</v>
      </c>
      <c r="AF21">
        <v>4.3015284892879903E-2</v>
      </c>
      <c r="AG21">
        <v>0</v>
      </c>
      <c r="AH21">
        <v>0</v>
      </c>
      <c r="AI21">
        <v>0</v>
      </c>
    </row>
    <row r="22" spans="1:35" x14ac:dyDescent="0.3">
      <c r="A22" s="3">
        <v>136</v>
      </c>
      <c r="B22">
        <v>0.118029238729339</v>
      </c>
      <c r="C22">
        <v>0.21133081128977399</v>
      </c>
      <c r="D22">
        <v>0</v>
      </c>
      <c r="E22">
        <v>0</v>
      </c>
      <c r="F22">
        <v>0</v>
      </c>
      <c r="G22">
        <v>0.17542548341808001</v>
      </c>
      <c r="H22">
        <v>0.20145527360889801</v>
      </c>
      <c r="I22">
        <v>0</v>
      </c>
      <c r="J22">
        <v>0</v>
      </c>
      <c r="K22">
        <v>0</v>
      </c>
      <c r="L22">
        <v>0</v>
      </c>
      <c r="M22">
        <v>0</v>
      </c>
      <c r="N22">
        <v>0</v>
      </c>
      <c r="O22">
        <v>0</v>
      </c>
      <c r="P22">
        <v>0</v>
      </c>
      <c r="Q22">
        <v>0</v>
      </c>
      <c r="R22">
        <v>0</v>
      </c>
      <c r="S22">
        <v>0</v>
      </c>
      <c r="T22">
        <v>0</v>
      </c>
      <c r="U22">
        <v>0</v>
      </c>
      <c r="V22">
        <v>0</v>
      </c>
      <c r="W22">
        <v>5</v>
      </c>
      <c r="X22">
        <v>0</v>
      </c>
      <c r="Y22">
        <v>0</v>
      </c>
      <c r="Z22">
        <v>0.166121685656</v>
      </c>
      <c r="AA22">
        <v>0.33013700015153102</v>
      </c>
      <c r="AB22">
        <v>0</v>
      </c>
      <c r="AC22">
        <v>0</v>
      </c>
      <c r="AD22">
        <v>0</v>
      </c>
      <c r="AE22">
        <v>0</v>
      </c>
      <c r="AF22">
        <v>7.1692141488133299E-2</v>
      </c>
      <c r="AG22">
        <v>0</v>
      </c>
      <c r="AH22">
        <v>0</v>
      </c>
      <c r="AI22">
        <v>0</v>
      </c>
    </row>
    <row r="23" spans="1:35" x14ac:dyDescent="0.3">
      <c r="A23" s="3">
        <v>137</v>
      </c>
      <c r="B23">
        <v>4.7211695491412201E-2</v>
      </c>
      <c r="C23">
        <v>8.4532324515902493E-2</v>
      </c>
      <c r="D23">
        <v>0</v>
      </c>
      <c r="E23">
        <v>0</v>
      </c>
      <c r="F23">
        <v>0</v>
      </c>
      <c r="G23">
        <v>7.0170193367233402E-2</v>
      </c>
      <c r="H23">
        <v>8.0582109443559896E-2</v>
      </c>
      <c r="I23">
        <v>0</v>
      </c>
      <c r="J23">
        <v>0</v>
      </c>
      <c r="K23">
        <v>0</v>
      </c>
      <c r="L23">
        <v>0</v>
      </c>
      <c r="M23">
        <v>0</v>
      </c>
      <c r="N23">
        <v>0</v>
      </c>
      <c r="O23">
        <v>0</v>
      </c>
      <c r="P23">
        <v>0</v>
      </c>
      <c r="Q23">
        <v>0</v>
      </c>
      <c r="R23">
        <v>0</v>
      </c>
      <c r="S23">
        <v>0</v>
      </c>
      <c r="T23">
        <v>0</v>
      </c>
      <c r="U23">
        <v>0</v>
      </c>
      <c r="V23">
        <v>0</v>
      </c>
      <c r="W23">
        <v>0</v>
      </c>
      <c r="X23">
        <v>0</v>
      </c>
      <c r="Y23">
        <v>0</v>
      </c>
      <c r="Z23">
        <v>6.6448674262391302E-2</v>
      </c>
      <c r="AA23">
        <v>0.132054800060595</v>
      </c>
      <c r="AB23">
        <v>2</v>
      </c>
      <c r="AC23">
        <v>0</v>
      </c>
      <c r="AD23">
        <v>0</v>
      </c>
      <c r="AE23">
        <v>0</v>
      </c>
      <c r="AF23">
        <v>2.86768565952479E-2</v>
      </c>
      <c r="AG23">
        <v>0</v>
      </c>
      <c r="AH23">
        <v>0</v>
      </c>
      <c r="AI23">
        <v>0</v>
      </c>
    </row>
    <row r="24" spans="1:35" x14ac:dyDescent="0.3">
      <c r="A24" s="3">
        <v>138</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row>
    <row r="25" spans="1:35" x14ac:dyDescent="0.3">
      <c r="A25" s="3">
        <v>139</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row>
    <row r="26" spans="1:35" x14ac:dyDescent="0.3">
      <c r="A26" s="3">
        <v>140</v>
      </c>
      <c r="B26">
        <v>2.2846778655109399E-2</v>
      </c>
      <c r="C26">
        <v>4.0907052528819501E-2</v>
      </c>
      <c r="D26">
        <v>0</v>
      </c>
      <c r="E26">
        <v>0</v>
      </c>
      <c r="F26">
        <v>0</v>
      </c>
      <c r="G26">
        <v>3.3956901132463899E-2</v>
      </c>
      <c r="H26">
        <v>3.8995456505894498E-2</v>
      </c>
      <c r="I26">
        <v>0</v>
      </c>
      <c r="J26">
        <v>0</v>
      </c>
      <c r="K26">
        <v>0</v>
      </c>
      <c r="L26">
        <v>0</v>
      </c>
      <c r="M26">
        <v>0</v>
      </c>
      <c r="N26">
        <v>0</v>
      </c>
      <c r="O26">
        <v>0</v>
      </c>
      <c r="P26">
        <v>0</v>
      </c>
      <c r="Q26">
        <v>0</v>
      </c>
      <c r="R26">
        <v>0</v>
      </c>
      <c r="S26">
        <v>0</v>
      </c>
      <c r="T26">
        <v>0</v>
      </c>
      <c r="U26">
        <v>0</v>
      </c>
      <c r="V26">
        <v>0</v>
      </c>
      <c r="W26">
        <v>0</v>
      </c>
      <c r="X26">
        <v>0</v>
      </c>
      <c r="Y26">
        <v>0</v>
      </c>
      <c r="Z26">
        <v>0</v>
      </c>
      <c r="AA26">
        <v>6.3904224523673503E-2</v>
      </c>
      <c r="AB26">
        <v>0</v>
      </c>
      <c r="AC26">
        <v>0</v>
      </c>
      <c r="AD26">
        <v>1</v>
      </c>
      <c r="AE26">
        <v>0</v>
      </c>
      <c r="AF26">
        <v>1.38773621383391E-2</v>
      </c>
      <c r="AG26">
        <v>0</v>
      </c>
      <c r="AH26">
        <v>0</v>
      </c>
      <c r="AI26">
        <v>0</v>
      </c>
    </row>
    <row r="27" spans="1:35" x14ac:dyDescent="0.3">
      <c r="A27" s="3">
        <v>141</v>
      </c>
      <c r="B27">
        <v>8.7957184227178395E-2</v>
      </c>
      <c r="C27">
        <v>0.15748693545280901</v>
      </c>
      <c r="D27">
        <v>0</v>
      </c>
      <c r="E27">
        <v>0</v>
      </c>
      <c r="F27">
        <v>0</v>
      </c>
      <c r="G27">
        <v>0.13072973890656001</v>
      </c>
      <c r="H27">
        <v>0</v>
      </c>
      <c r="I27">
        <v>0</v>
      </c>
      <c r="J27">
        <v>0</v>
      </c>
      <c r="K27">
        <v>0</v>
      </c>
      <c r="L27">
        <v>0</v>
      </c>
      <c r="M27">
        <v>0</v>
      </c>
      <c r="N27">
        <v>0</v>
      </c>
      <c r="O27">
        <v>0</v>
      </c>
      <c r="P27">
        <v>0</v>
      </c>
      <c r="Q27">
        <v>0</v>
      </c>
      <c r="R27">
        <v>0</v>
      </c>
      <c r="S27">
        <v>0</v>
      </c>
      <c r="T27">
        <v>0</v>
      </c>
      <c r="U27">
        <v>0</v>
      </c>
      <c r="V27">
        <v>0</v>
      </c>
      <c r="W27">
        <v>0</v>
      </c>
      <c r="X27">
        <v>0</v>
      </c>
      <c r="Y27">
        <v>0</v>
      </c>
      <c r="Z27">
        <v>0</v>
      </c>
      <c r="AA27">
        <v>0.24602311449860201</v>
      </c>
      <c r="AB27">
        <v>4</v>
      </c>
      <c r="AC27">
        <v>0</v>
      </c>
      <c r="AD27">
        <v>0</v>
      </c>
      <c r="AE27">
        <v>0</v>
      </c>
      <c r="AF27">
        <v>5.3426074402151101E-2</v>
      </c>
      <c r="AG27">
        <v>0</v>
      </c>
      <c r="AH27">
        <v>0</v>
      </c>
      <c r="AI27">
        <v>0</v>
      </c>
    </row>
    <row r="28" spans="1:35" x14ac:dyDescent="0.3">
      <c r="A28" s="3">
        <v>142</v>
      </c>
      <c r="B28">
        <v>4.3978592113364898E-2</v>
      </c>
      <c r="C28">
        <v>7.8743467726400507E-2</v>
      </c>
      <c r="D28">
        <v>0</v>
      </c>
      <c r="E28">
        <v>0</v>
      </c>
      <c r="F28">
        <v>0</v>
      </c>
      <c r="G28">
        <v>6.5364869453281793E-2</v>
      </c>
      <c r="H28">
        <v>0</v>
      </c>
      <c r="I28">
        <v>0</v>
      </c>
      <c r="J28">
        <v>0</v>
      </c>
      <c r="K28">
        <v>0</v>
      </c>
      <c r="L28">
        <v>0</v>
      </c>
      <c r="M28">
        <v>0</v>
      </c>
      <c r="N28">
        <v>0</v>
      </c>
      <c r="O28">
        <v>0</v>
      </c>
      <c r="P28">
        <v>0</v>
      </c>
      <c r="Q28">
        <v>0</v>
      </c>
      <c r="R28">
        <v>0</v>
      </c>
      <c r="S28">
        <v>0</v>
      </c>
      <c r="T28">
        <v>0</v>
      </c>
      <c r="U28">
        <v>0</v>
      </c>
      <c r="V28">
        <v>0</v>
      </c>
      <c r="W28">
        <v>0</v>
      </c>
      <c r="X28">
        <v>0</v>
      </c>
      <c r="Y28">
        <v>0</v>
      </c>
      <c r="Z28">
        <v>0</v>
      </c>
      <c r="AA28">
        <v>0.123011557249291</v>
      </c>
      <c r="AB28">
        <v>0</v>
      </c>
      <c r="AC28">
        <v>2</v>
      </c>
      <c r="AD28">
        <v>0</v>
      </c>
      <c r="AE28">
        <v>0</v>
      </c>
      <c r="AF28">
        <v>2.6713037201072098E-2</v>
      </c>
      <c r="AG28">
        <v>0</v>
      </c>
      <c r="AH28">
        <v>0</v>
      </c>
      <c r="AI28">
        <v>0</v>
      </c>
    </row>
    <row r="29" spans="1:35" x14ac:dyDescent="0.3">
      <c r="A29" s="3">
        <v>143</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row>
    <row r="30" spans="1:35" x14ac:dyDescent="0.3">
      <c r="A30" s="3">
        <v>144</v>
      </c>
      <c r="B30">
        <v>2.0457779642279399E-2</v>
      </c>
      <c r="C30">
        <v>3.66295607397411E-2</v>
      </c>
      <c r="D30">
        <v>0</v>
      </c>
      <c r="E30">
        <v>0</v>
      </c>
      <c r="F30">
        <v>0</v>
      </c>
      <c r="G30">
        <v>3.040615971249E-2</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1</v>
      </c>
      <c r="AD30">
        <v>0</v>
      </c>
      <c r="AE30">
        <v>0</v>
      </c>
      <c r="AF30">
        <v>0</v>
      </c>
      <c r="AG30">
        <v>0</v>
      </c>
      <c r="AH30">
        <v>0</v>
      </c>
      <c r="AI30">
        <v>0</v>
      </c>
    </row>
    <row r="31" spans="1:35" x14ac:dyDescent="0.3">
      <c r="A31" s="3">
        <v>145</v>
      </c>
      <c r="B31">
        <v>3.3346180816884199</v>
      </c>
      <c r="C31">
        <v>5.9706184006008396</v>
      </c>
      <c r="D31">
        <v>0</v>
      </c>
      <c r="E31">
        <v>0</v>
      </c>
      <c r="F31">
        <v>0</v>
      </c>
      <c r="G31">
        <v>4.9562040331550099</v>
      </c>
      <c r="H31">
        <v>0</v>
      </c>
      <c r="I31">
        <v>0</v>
      </c>
      <c r="J31">
        <v>0</v>
      </c>
      <c r="K31">
        <v>0</v>
      </c>
      <c r="L31">
        <v>3</v>
      </c>
      <c r="M31">
        <v>0</v>
      </c>
      <c r="N31">
        <v>0</v>
      </c>
      <c r="O31">
        <v>3</v>
      </c>
      <c r="P31">
        <v>0</v>
      </c>
      <c r="Q31">
        <v>0</v>
      </c>
      <c r="R31">
        <v>0</v>
      </c>
      <c r="S31">
        <v>154</v>
      </c>
      <c r="T31">
        <v>0</v>
      </c>
      <c r="U31">
        <v>0</v>
      </c>
      <c r="V31">
        <v>0</v>
      </c>
      <c r="W31">
        <v>0</v>
      </c>
      <c r="X31">
        <v>0</v>
      </c>
      <c r="Y31">
        <v>0</v>
      </c>
      <c r="Z31">
        <v>0</v>
      </c>
      <c r="AA31">
        <v>0</v>
      </c>
      <c r="AB31">
        <v>0</v>
      </c>
      <c r="AC31">
        <v>0</v>
      </c>
      <c r="AD31">
        <v>0</v>
      </c>
      <c r="AE31">
        <v>3</v>
      </c>
      <c r="AF31">
        <v>0</v>
      </c>
      <c r="AG31">
        <v>0</v>
      </c>
      <c r="AH31">
        <v>0</v>
      </c>
      <c r="AI31">
        <v>0</v>
      </c>
    </row>
    <row r="32" spans="1:35" x14ac:dyDescent="0.3">
      <c r="A32" s="3">
        <v>146</v>
      </c>
      <c r="B32">
        <v>3.2759932276300701</v>
      </c>
      <c r="C32">
        <v>0</v>
      </c>
      <c r="D32">
        <v>0</v>
      </c>
      <c r="E32">
        <v>0</v>
      </c>
      <c r="F32">
        <v>0</v>
      </c>
      <c r="G32">
        <v>4.8690705952350104</v>
      </c>
      <c r="H32">
        <v>0</v>
      </c>
      <c r="I32">
        <v>0</v>
      </c>
      <c r="J32">
        <v>0</v>
      </c>
      <c r="K32">
        <v>0</v>
      </c>
      <c r="L32">
        <v>8</v>
      </c>
      <c r="M32">
        <v>0</v>
      </c>
      <c r="N32">
        <v>0</v>
      </c>
      <c r="O32">
        <v>2</v>
      </c>
      <c r="P32">
        <v>0</v>
      </c>
      <c r="Q32">
        <v>0</v>
      </c>
      <c r="R32">
        <v>0</v>
      </c>
      <c r="S32">
        <v>57</v>
      </c>
      <c r="T32">
        <v>0</v>
      </c>
      <c r="U32">
        <v>0</v>
      </c>
      <c r="V32">
        <v>0</v>
      </c>
      <c r="W32">
        <v>0</v>
      </c>
      <c r="X32">
        <v>0</v>
      </c>
      <c r="Y32">
        <v>0</v>
      </c>
      <c r="Z32">
        <v>0</v>
      </c>
      <c r="AA32">
        <v>5</v>
      </c>
      <c r="AB32">
        <v>0</v>
      </c>
      <c r="AC32">
        <v>3</v>
      </c>
      <c r="AD32">
        <v>0</v>
      </c>
      <c r="AE32">
        <v>91</v>
      </c>
      <c r="AF32">
        <v>0</v>
      </c>
      <c r="AG32">
        <v>0</v>
      </c>
      <c r="AH32">
        <v>0</v>
      </c>
      <c r="AI32">
        <v>0</v>
      </c>
    </row>
    <row r="33" spans="1:35" x14ac:dyDescent="0.3">
      <c r="A33" s="3">
        <v>147</v>
      </c>
      <c r="B33">
        <v>21.1952814807807</v>
      </c>
      <c r="C33">
        <v>0</v>
      </c>
      <c r="D33">
        <v>0</v>
      </c>
      <c r="E33">
        <v>0</v>
      </c>
      <c r="F33">
        <v>0</v>
      </c>
      <c r="G33">
        <v>31.502300116891</v>
      </c>
      <c r="H33">
        <v>0</v>
      </c>
      <c r="I33">
        <v>0</v>
      </c>
      <c r="J33">
        <v>0</v>
      </c>
      <c r="K33">
        <v>0</v>
      </c>
      <c r="L33">
        <v>0</v>
      </c>
      <c r="M33">
        <v>0</v>
      </c>
      <c r="N33">
        <v>0</v>
      </c>
      <c r="O33">
        <v>11</v>
      </c>
      <c r="P33">
        <v>2</v>
      </c>
      <c r="Q33">
        <v>3</v>
      </c>
      <c r="R33">
        <v>0</v>
      </c>
      <c r="S33">
        <v>1028</v>
      </c>
      <c r="T33">
        <v>0</v>
      </c>
      <c r="U33">
        <v>0</v>
      </c>
      <c r="V33">
        <v>0</v>
      </c>
      <c r="W33">
        <v>0</v>
      </c>
      <c r="X33">
        <v>0</v>
      </c>
      <c r="Y33">
        <v>3</v>
      </c>
      <c r="Z33">
        <v>0</v>
      </c>
      <c r="AA33">
        <v>0</v>
      </c>
      <c r="AB33">
        <v>0</v>
      </c>
      <c r="AC33">
        <v>8</v>
      </c>
      <c r="AD33">
        <v>0</v>
      </c>
      <c r="AE33">
        <v>19</v>
      </c>
      <c r="AF33">
        <v>0</v>
      </c>
      <c r="AG33">
        <v>0</v>
      </c>
      <c r="AH33">
        <v>0</v>
      </c>
      <c r="AI33">
        <v>0</v>
      </c>
    </row>
    <row r="34" spans="1:35" x14ac:dyDescent="0.3">
      <c r="A34" s="3">
        <v>148</v>
      </c>
      <c r="B34">
        <v>6.55198644597992</v>
      </c>
      <c r="C34">
        <v>0</v>
      </c>
      <c r="D34">
        <v>0</v>
      </c>
      <c r="E34">
        <v>0</v>
      </c>
      <c r="F34">
        <v>0</v>
      </c>
      <c r="G34">
        <v>9.7381411907343498</v>
      </c>
      <c r="H34">
        <v>0</v>
      </c>
      <c r="I34">
        <v>1</v>
      </c>
      <c r="J34">
        <v>0</v>
      </c>
      <c r="K34">
        <v>0</v>
      </c>
      <c r="L34">
        <v>0</v>
      </c>
      <c r="M34">
        <v>0</v>
      </c>
      <c r="N34">
        <v>0</v>
      </c>
      <c r="O34">
        <v>0</v>
      </c>
      <c r="P34">
        <v>2</v>
      </c>
      <c r="Q34">
        <v>9</v>
      </c>
      <c r="R34">
        <v>0</v>
      </c>
      <c r="S34">
        <v>101</v>
      </c>
      <c r="T34">
        <v>0</v>
      </c>
      <c r="U34">
        <v>0</v>
      </c>
      <c r="V34">
        <v>0</v>
      </c>
      <c r="W34">
        <v>0</v>
      </c>
      <c r="X34">
        <v>0</v>
      </c>
      <c r="Y34">
        <v>7</v>
      </c>
      <c r="Z34">
        <v>0</v>
      </c>
      <c r="AA34">
        <v>0</v>
      </c>
      <c r="AB34">
        <v>1</v>
      </c>
      <c r="AC34">
        <v>5</v>
      </c>
      <c r="AD34">
        <v>0</v>
      </c>
      <c r="AE34">
        <v>201</v>
      </c>
      <c r="AF34">
        <v>0</v>
      </c>
      <c r="AG34">
        <v>0</v>
      </c>
      <c r="AH34">
        <v>0</v>
      </c>
      <c r="AI34">
        <v>5</v>
      </c>
    </row>
    <row r="35" spans="1:35" x14ac:dyDescent="0.3">
      <c r="A35" s="3">
        <v>149</v>
      </c>
      <c r="B35">
        <v>14.8603788914251</v>
      </c>
      <c r="C35">
        <v>0</v>
      </c>
      <c r="D35">
        <v>0</v>
      </c>
      <c r="E35">
        <v>0</v>
      </c>
      <c r="F35">
        <v>4</v>
      </c>
      <c r="G35">
        <v>22.086808182943798</v>
      </c>
      <c r="H35">
        <v>0</v>
      </c>
      <c r="I35">
        <v>0</v>
      </c>
      <c r="J35">
        <v>0</v>
      </c>
      <c r="K35">
        <v>0</v>
      </c>
      <c r="L35">
        <v>0</v>
      </c>
      <c r="M35">
        <v>0</v>
      </c>
      <c r="N35">
        <v>0</v>
      </c>
      <c r="O35">
        <v>6</v>
      </c>
      <c r="P35">
        <v>0</v>
      </c>
      <c r="Q35">
        <v>0</v>
      </c>
      <c r="R35">
        <v>0</v>
      </c>
      <c r="S35">
        <v>727</v>
      </c>
      <c r="T35">
        <v>0</v>
      </c>
      <c r="U35">
        <v>0</v>
      </c>
      <c r="V35">
        <v>0</v>
      </c>
      <c r="W35">
        <v>0</v>
      </c>
      <c r="X35">
        <v>1</v>
      </c>
      <c r="Y35">
        <v>0</v>
      </c>
      <c r="Z35">
        <v>0</v>
      </c>
      <c r="AA35">
        <v>11</v>
      </c>
      <c r="AB35">
        <v>0</v>
      </c>
      <c r="AC35">
        <v>3</v>
      </c>
      <c r="AD35">
        <v>0</v>
      </c>
      <c r="AE35">
        <v>1</v>
      </c>
      <c r="AF35">
        <v>0</v>
      </c>
      <c r="AG35">
        <v>0</v>
      </c>
      <c r="AH35">
        <v>0</v>
      </c>
      <c r="AI35">
        <v>0</v>
      </c>
    </row>
    <row r="36" spans="1:35" x14ac:dyDescent="0.3">
      <c r="A36" s="3">
        <v>150</v>
      </c>
      <c r="B36">
        <v>28.299845035834299</v>
      </c>
      <c r="C36">
        <v>0</v>
      </c>
      <c r="D36">
        <v>0</v>
      </c>
      <c r="E36">
        <v>0</v>
      </c>
      <c r="F36">
        <v>5</v>
      </c>
      <c r="G36">
        <v>42.061730325724</v>
      </c>
      <c r="H36">
        <v>7</v>
      </c>
      <c r="I36">
        <v>2</v>
      </c>
      <c r="J36">
        <v>0</v>
      </c>
      <c r="K36">
        <v>0</v>
      </c>
      <c r="L36">
        <v>0</v>
      </c>
      <c r="M36">
        <v>0</v>
      </c>
      <c r="N36">
        <v>1</v>
      </c>
      <c r="O36">
        <v>13</v>
      </c>
      <c r="P36">
        <v>5</v>
      </c>
      <c r="Q36">
        <v>15</v>
      </c>
      <c r="R36">
        <v>3</v>
      </c>
      <c r="S36">
        <v>946</v>
      </c>
      <c r="T36">
        <v>0</v>
      </c>
      <c r="U36">
        <v>1</v>
      </c>
      <c r="V36">
        <v>0</v>
      </c>
      <c r="W36">
        <v>0</v>
      </c>
      <c r="X36">
        <v>0</v>
      </c>
      <c r="Y36">
        <v>0</v>
      </c>
      <c r="Z36">
        <v>0</v>
      </c>
      <c r="AA36">
        <v>425</v>
      </c>
      <c r="AB36">
        <v>0</v>
      </c>
      <c r="AC36">
        <v>3</v>
      </c>
      <c r="AD36">
        <v>0</v>
      </c>
      <c r="AE36">
        <v>7</v>
      </c>
      <c r="AF36">
        <v>1</v>
      </c>
      <c r="AG36">
        <v>0</v>
      </c>
      <c r="AH36">
        <v>0</v>
      </c>
      <c r="AI36">
        <v>0</v>
      </c>
    </row>
    <row r="37" spans="1:35" x14ac:dyDescent="0.3">
      <c r="A37" s="3">
        <v>151</v>
      </c>
      <c r="B37">
        <v>19.1625868094659</v>
      </c>
      <c r="C37">
        <v>11</v>
      </c>
      <c r="D37">
        <v>0</v>
      </c>
      <c r="E37">
        <v>0</v>
      </c>
      <c r="F37">
        <v>14</v>
      </c>
      <c r="G37">
        <v>28.4811298096011</v>
      </c>
      <c r="H37">
        <v>14</v>
      </c>
      <c r="I37">
        <v>0</v>
      </c>
      <c r="J37">
        <v>0</v>
      </c>
      <c r="K37">
        <v>0</v>
      </c>
      <c r="L37">
        <v>10</v>
      </c>
      <c r="M37">
        <v>0</v>
      </c>
      <c r="N37">
        <v>1</v>
      </c>
      <c r="O37">
        <v>0</v>
      </c>
      <c r="P37">
        <v>19</v>
      </c>
      <c r="Q37">
        <v>8</v>
      </c>
      <c r="R37">
        <v>4</v>
      </c>
      <c r="S37">
        <v>741</v>
      </c>
      <c r="T37">
        <v>0</v>
      </c>
      <c r="U37">
        <v>0</v>
      </c>
      <c r="V37">
        <v>0</v>
      </c>
      <c r="W37">
        <v>5</v>
      </c>
      <c r="X37">
        <v>0</v>
      </c>
      <c r="Y37">
        <v>5</v>
      </c>
      <c r="Z37">
        <v>1</v>
      </c>
      <c r="AA37">
        <v>68</v>
      </c>
      <c r="AB37">
        <v>0</v>
      </c>
      <c r="AC37">
        <v>1</v>
      </c>
      <c r="AD37">
        <v>0</v>
      </c>
      <c r="AE37">
        <v>69</v>
      </c>
      <c r="AF37">
        <v>0</v>
      </c>
      <c r="AG37">
        <v>0</v>
      </c>
      <c r="AH37">
        <v>0</v>
      </c>
      <c r="AI37">
        <v>0</v>
      </c>
    </row>
    <row r="38" spans="1:35" x14ac:dyDescent="0.3">
      <c r="A38" s="3">
        <v>152</v>
      </c>
      <c r="B38">
        <v>91.826484372568103</v>
      </c>
      <c r="C38">
        <v>5</v>
      </c>
      <c r="D38">
        <v>5</v>
      </c>
      <c r="E38">
        <v>0</v>
      </c>
      <c r="F38">
        <v>2</v>
      </c>
      <c r="G38">
        <v>136.48063544521801</v>
      </c>
      <c r="H38">
        <v>9</v>
      </c>
      <c r="I38">
        <v>0</v>
      </c>
      <c r="J38">
        <v>0</v>
      </c>
      <c r="K38">
        <v>197</v>
      </c>
      <c r="L38">
        <v>9</v>
      </c>
      <c r="M38">
        <v>0</v>
      </c>
      <c r="N38">
        <v>0</v>
      </c>
      <c r="O38">
        <v>172</v>
      </c>
      <c r="P38">
        <v>28</v>
      </c>
      <c r="Q38">
        <v>1</v>
      </c>
      <c r="R38">
        <v>0</v>
      </c>
      <c r="S38">
        <v>1072</v>
      </c>
      <c r="T38">
        <v>0</v>
      </c>
      <c r="U38">
        <v>0</v>
      </c>
      <c r="V38">
        <v>0</v>
      </c>
      <c r="W38">
        <v>1311</v>
      </c>
      <c r="X38">
        <v>0</v>
      </c>
      <c r="Y38">
        <v>81</v>
      </c>
      <c r="Z38">
        <v>1</v>
      </c>
      <c r="AA38">
        <v>38</v>
      </c>
      <c r="AB38">
        <v>0</v>
      </c>
      <c r="AC38">
        <v>2</v>
      </c>
      <c r="AD38">
        <v>0</v>
      </c>
      <c r="AE38">
        <v>1719</v>
      </c>
      <c r="AF38">
        <v>0</v>
      </c>
      <c r="AG38">
        <v>1</v>
      </c>
      <c r="AH38">
        <v>0</v>
      </c>
      <c r="AI38">
        <v>0</v>
      </c>
    </row>
    <row r="39" spans="1:35" x14ac:dyDescent="0.3">
      <c r="A39" s="3">
        <v>153</v>
      </c>
      <c r="B39">
        <v>135.55901951507599</v>
      </c>
      <c r="C39">
        <v>6</v>
      </c>
      <c r="D39">
        <v>1</v>
      </c>
      <c r="E39">
        <v>0</v>
      </c>
      <c r="F39">
        <v>2</v>
      </c>
      <c r="G39">
        <v>201.47979475643999</v>
      </c>
      <c r="H39">
        <v>17</v>
      </c>
      <c r="I39">
        <v>0</v>
      </c>
      <c r="J39">
        <v>0</v>
      </c>
      <c r="K39">
        <v>344</v>
      </c>
      <c r="L39">
        <v>23</v>
      </c>
      <c r="M39">
        <v>3</v>
      </c>
      <c r="N39">
        <v>0</v>
      </c>
      <c r="O39">
        <v>5</v>
      </c>
      <c r="P39">
        <v>57</v>
      </c>
      <c r="Q39">
        <v>300</v>
      </c>
      <c r="R39">
        <v>7</v>
      </c>
      <c r="S39">
        <v>688</v>
      </c>
      <c r="T39">
        <v>0</v>
      </c>
      <c r="U39">
        <v>3</v>
      </c>
      <c r="V39">
        <v>0</v>
      </c>
      <c r="W39">
        <v>826</v>
      </c>
      <c r="X39">
        <v>2</v>
      </c>
      <c r="Y39">
        <v>1</v>
      </c>
      <c r="Z39">
        <v>1</v>
      </c>
      <c r="AA39">
        <v>265</v>
      </c>
      <c r="AB39">
        <v>0</v>
      </c>
      <c r="AC39">
        <v>0</v>
      </c>
      <c r="AD39">
        <v>0</v>
      </c>
      <c r="AE39">
        <v>4312</v>
      </c>
      <c r="AF39">
        <v>0</v>
      </c>
      <c r="AG39">
        <v>6</v>
      </c>
      <c r="AH39">
        <v>0</v>
      </c>
      <c r="AI39">
        <v>0</v>
      </c>
    </row>
    <row r="40" spans="1:35" x14ac:dyDescent="0.3">
      <c r="A40" s="3">
        <v>154</v>
      </c>
      <c r="B40">
        <v>109.58789189994199</v>
      </c>
      <c r="C40">
        <v>7</v>
      </c>
      <c r="D40">
        <v>8</v>
      </c>
      <c r="E40">
        <v>0</v>
      </c>
      <c r="F40">
        <v>4</v>
      </c>
      <c r="G40">
        <v>162.87921100529101</v>
      </c>
      <c r="H40">
        <v>16</v>
      </c>
      <c r="I40">
        <v>0</v>
      </c>
      <c r="J40">
        <v>0</v>
      </c>
      <c r="K40">
        <v>198</v>
      </c>
      <c r="L40">
        <v>0</v>
      </c>
      <c r="M40">
        <v>3</v>
      </c>
      <c r="N40">
        <v>0</v>
      </c>
      <c r="O40">
        <v>11</v>
      </c>
      <c r="P40">
        <v>0</v>
      </c>
      <c r="Q40">
        <v>183</v>
      </c>
      <c r="R40">
        <v>22</v>
      </c>
      <c r="S40">
        <v>1266</v>
      </c>
      <c r="T40">
        <v>0</v>
      </c>
      <c r="U40">
        <v>4</v>
      </c>
      <c r="V40">
        <v>0</v>
      </c>
      <c r="W40">
        <v>368</v>
      </c>
      <c r="X40">
        <v>4</v>
      </c>
      <c r="Y40">
        <v>10</v>
      </c>
      <c r="Z40">
        <v>0</v>
      </c>
      <c r="AA40">
        <v>11</v>
      </c>
      <c r="AB40">
        <v>0</v>
      </c>
      <c r="AC40">
        <v>0</v>
      </c>
      <c r="AD40">
        <v>0</v>
      </c>
      <c r="AE40">
        <v>3435</v>
      </c>
      <c r="AF40">
        <v>2</v>
      </c>
      <c r="AG40">
        <v>0</v>
      </c>
      <c r="AH40">
        <v>1</v>
      </c>
      <c r="AI40">
        <v>0</v>
      </c>
    </row>
    <row r="41" spans="1:35" x14ac:dyDescent="0.3">
      <c r="A41" s="3">
        <v>155</v>
      </c>
      <c r="B41">
        <v>53.284225869407798</v>
      </c>
      <c r="C41">
        <v>33</v>
      </c>
      <c r="D41">
        <v>4</v>
      </c>
      <c r="E41">
        <v>0</v>
      </c>
      <c r="F41">
        <v>6</v>
      </c>
      <c r="G41">
        <v>79.195726586121495</v>
      </c>
      <c r="H41">
        <v>69</v>
      </c>
      <c r="I41">
        <v>11</v>
      </c>
      <c r="J41">
        <v>0</v>
      </c>
      <c r="K41">
        <v>0</v>
      </c>
      <c r="L41">
        <v>14</v>
      </c>
      <c r="M41">
        <v>1</v>
      </c>
      <c r="N41">
        <v>0</v>
      </c>
      <c r="O41">
        <v>0</v>
      </c>
      <c r="P41">
        <v>110</v>
      </c>
      <c r="Q41">
        <v>355</v>
      </c>
      <c r="R41">
        <v>0</v>
      </c>
      <c r="S41">
        <v>332</v>
      </c>
      <c r="T41">
        <v>0</v>
      </c>
      <c r="U41">
        <v>3</v>
      </c>
      <c r="V41">
        <v>0</v>
      </c>
      <c r="W41">
        <v>1370</v>
      </c>
      <c r="X41">
        <v>0</v>
      </c>
      <c r="Y41">
        <v>18</v>
      </c>
      <c r="Z41">
        <v>0</v>
      </c>
      <c r="AA41">
        <v>257</v>
      </c>
      <c r="AB41">
        <v>0</v>
      </c>
      <c r="AC41">
        <v>0</v>
      </c>
      <c r="AD41">
        <v>0</v>
      </c>
      <c r="AE41">
        <v>114</v>
      </c>
      <c r="AF41">
        <v>0</v>
      </c>
      <c r="AG41">
        <v>3</v>
      </c>
      <c r="AH41">
        <v>0</v>
      </c>
      <c r="AI41">
        <v>0</v>
      </c>
    </row>
    <row r="42" spans="1:35" x14ac:dyDescent="0.3">
      <c r="A42" s="3">
        <v>156</v>
      </c>
      <c r="B42">
        <v>98.299528976883906</v>
      </c>
      <c r="C42">
        <v>77</v>
      </c>
      <c r="D42">
        <v>5</v>
      </c>
      <c r="E42">
        <v>0</v>
      </c>
      <c r="F42">
        <v>7</v>
      </c>
      <c r="G42">
        <v>146.10144969093599</v>
      </c>
      <c r="H42">
        <v>40</v>
      </c>
      <c r="I42">
        <v>15</v>
      </c>
      <c r="J42">
        <v>0</v>
      </c>
      <c r="K42">
        <v>0</v>
      </c>
      <c r="L42">
        <v>21</v>
      </c>
      <c r="M42">
        <v>16</v>
      </c>
      <c r="N42">
        <v>4</v>
      </c>
      <c r="O42">
        <v>98</v>
      </c>
      <c r="P42">
        <v>126</v>
      </c>
      <c r="Q42">
        <v>7</v>
      </c>
      <c r="R42">
        <v>61</v>
      </c>
      <c r="S42">
        <v>1753</v>
      </c>
      <c r="T42">
        <v>0</v>
      </c>
      <c r="U42">
        <v>6</v>
      </c>
      <c r="V42">
        <v>0</v>
      </c>
      <c r="W42">
        <v>66</v>
      </c>
      <c r="X42">
        <v>25</v>
      </c>
      <c r="Y42">
        <v>4</v>
      </c>
      <c r="Z42">
        <v>0</v>
      </c>
      <c r="AA42">
        <v>1220</v>
      </c>
      <c r="AB42">
        <v>0</v>
      </c>
      <c r="AC42">
        <v>0</v>
      </c>
      <c r="AD42">
        <v>0</v>
      </c>
      <c r="AE42">
        <v>1429</v>
      </c>
      <c r="AF42">
        <v>0</v>
      </c>
      <c r="AG42">
        <v>1</v>
      </c>
      <c r="AH42">
        <v>0</v>
      </c>
      <c r="AI42">
        <v>0</v>
      </c>
    </row>
    <row r="43" spans="1:35" x14ac:dyDescent="0.3">
      <c r="A43" s="3">
        <v>157</v>
      </c>
      <c r="B43">
        <v>170.31217230423499</v>
      </c>
      <c r="C43">
        <v>0</v>
      </c>
      <c r="D43">
        <v>4</v>
      </c>
      <c r="E43">
        <v>0</v>
      </c>
      <c r="F43">
        <v>21</v>
      </c>
      <c r="G43">
        <v>253.1330076397</v>
      </c>
      <c r="H43">
        <v>90</v>
      </c>
      <c r="I43">
        <v>6</v>
      </c>
      <c r="J43">
        <v>4</v>
      </c>
      <c r="K43">
        <v>609</v>
      </c>
      <c r="L43">
        <v>34</v>
      </c>
      <c r="M43">
        <v>1</v>
      </c>
      <c r="N43">
        <v>0</v>
      </c>
      <c r="O43">
        <v>562</v>
      </c>
      <c r="P43">
        <v>0</v>
      </c>
      <c r="Q43">
        <v>1146</v>
      </c>
      <c r="R43">
        <v>247</v>
      </c>
      <c r="S43">
        <v>1241</v>
      </c>
      <c r="T43">
        <v>0</v>
      </c>
      <c r="U43">
        <v>256</v>
      </c>
      <c r="V43">
        <v>0</v>
      </c>
      <c r="W43">
        <v>186</v>
      </c>
      <c r="X43">
        <v>34</v>
      </c>
      <c r="Y43">
        <v>9</v>
      </c>
      <c r="Z43">
        <v>0</v>
      </c>
      <c r="AA43">
        <v>534</v>
      </c>
      <c r="AB43">
        <v>0</v>
      </c>
      <c r="AC43">
        <v>0</v>
      </c>
      <c r="AD43">
        <v>0</v>
      </c>
      <c r="AE43">
        <v>3636</v>
      </c>
      <c r="AF43">
        <v>0</v>
      </c>
      <c r="AG43">
        <v>8</v>
      </c>
      <c r="AH43">
        <v>0</v>
      </c>
      <c r="AI43">
        <v>2</v>
      </c>
    </row>
    <row r="44" spans="1:35" x14ac:dyDescent="0.3">
      <c r="A44" s="3">
        <v>158</v>
      </c>
      <c r="B44">
        <v>92.675081489874799</v>
      </c>
      <c r="C44">
        <v>5</v>
      </c>
      <c r="D44">
        <v>17</v>
      </c>
      <c r="E44">
        <v>0</v>
      </c>
      <c r="F44">
        <v>17</v>
      </c>
      <c r="G44">
        <v>137.741900807257</v>
      </c>
      <c r="H44">
        <v>12</v>
      </c>
      <c r="I44">
        <v>0</v>
      </c>
      <c r="J44">
        <v>2</v>
      </c>
      <c r="K44">
        <v>6</v>
      </c>
      <c r="L44">
        <v>13</v>
      </c>
      <c r="M44">
        <v>11</v>
      </c>
      <c r="N44">
        <v>5</v>
      </c>
      <c r="O44">
        <v>709</v>
      </c>
      <c r="P44">
        <v>274</v>
      </c>
      <c r="Q44">
        <v>70</v>
      </c>
      <c r="R44">
        <v>87</v>
      </c>
      <c r="S44">
        <v>910</v>
      </c>
      <c r="T44">
        <v>35</v>
      </c>
      <c r="U44">
        <v>8</v>
      </c>
      <c r="V44">
        <v>0</v>
      </c>
      <c r="W44">
        <v>624</v>
      </c>
      <c r="X44">
        <v>0</v>
      </c>
      <c r="Y44">
        <v>17</v>
      </c>
      <c r="Z44">
        <v>1</v>
      </c>
      <c r="AA44">
        <v>658</v>
      </c>
      <c r="AB44">
        <v>0</v>
      </c>
      <c r="AC44">
        <v>0</v>
      </c>
      <c r="AD44">
        <v>35</v>
      </c>
      <c r="AE44">
        <v>86</v>
      </c>
      <c r="AF44">
        <v>0</v>
      </c>
      <c r="AG44">
        <v>1094</v>
      </c>
      <c r="AH44">
        <v>0</v>
      </c>
      <c r="AI44">
        <v>0</v>
      </c>
    </row>
    <row r="45" spans="1:35" x14ac:dyDescent="0.3">
      <c r="A45" s="3">
        <v>159</v>
      </c>
      <c r="B45">
        <v>2</v>
      </c>
      <c r="C45">
        <v>2</v>
      </c>
      <c r="D45">
        <v>0</v>
      </c>
      <c r="E45">
        <v>0</v>
      </c>
      <c r="F45">
        <v>13</v>
      </c>
      <c r="G45">
        <v>174.62681521963901</v>
      </c>
      <c r="H45">
        <v>185</v>
      </c>
      <c r="I45">
        <v>0</v>
      </c>
      <c r="J45">
        <v>1</v>
      </c>
      <c r="K45">
        <v>184</v>
      </c>
      <c r="L45">
        <v>2</v>
      </c>
      <c r="M45">
        <v>0</v>
      </c>
      <c r="N45">
        <v>35</v>
      </c>
      <c r="O45">
        <v>1459</v>
      </c>
      <c r="P45">
        <v>5</v>
      </c>
      <c r="Q45">
        <v>174</v>
      </c>
      <c r="R45">
        <v>39</v>
      </c>
      <c r="S45">
        <v>1309</v>
      </c>
      <c r="T45">
        <v>0</v>
      </c>
      <c r="U45">
        <v>0</v>
      </c>
      <c r="V45">
        <v>0</v>
      </c>
      <c r="W45">
        <v>390</v>
      </c>
      <c r="X45">
        <v>36</v>
      </c>
      <c r="Y45">
        <v>40</v>
      </c>
      <c r="Z45">
        <v>0</v>
      </c>
      <c r="AA45">
        <v>1862</v>
      </c>
      <c r="AB45">
        <v>2</v>
      </c>
      <c r="AC45">
        <v>3</v>
      </c>
      <c r="AD45">
        <v>0</v>
      </c>
      <c r="AE45">
        <v>326</v>
      </c>
      <c r="AF45">
        <v>0</v>
      </c>
      <c r="AG45">
        <v>2</v>
      </c>
      <c r="AH45">
        <v>0</v>
      </c>
      <c r="AI45">
        <v>0</v>
      </c>
    </row>
    <row r="46" spans="1:35" x14ac:dyDescent="0.3">
      <c r="A46" s="3">
        <v>160</v>
      </c>
      <c r="B46">
        <v>0</v>
      </c>
      <c r="C46">
        <v>0</v>
      </c>
      <c r="D46">
        <v>15</v>
      </c>
      <c r="E46">
        <v>0</v>
      </c>
      <c r="F46">
        <v>31</v>
      </c>
      <c r="G46">
        <v>200.11180263218199</v>
      </c>
      <c r="H46">
        <v>2</v>
      </c>
      <c r="I46">
        <v>121</v>
      </c>
      <c r="J46">
        <v>6</v>
      </c>
      <c r="K46">
        <v>1191</v>
      </c>
      <c r="L46">
        <v>16</v>
      </c>
      <c r="M46">
        <v>0</v>
      </c>
      <c r="N46">
        <v>2</v>
      </c>
      <c r="O46">
        <v>496</v>
      </c>
      <c r="P46">
        <v>541</v>
      </c>
      <c r="Q46">
        <v>960</v>
      </c>
      <c r="R46">
        <v>751</v>
      </c>
      <c r="S46">
        <v>1353</v>
      </c>
      <c r="T46">
        <v>1</v>
      </c>
      <c r="U46">
        <v>11</v>
      </c>
      <c r="V46">
        <v>0</v>
      </c>
      <c r="W46">
        <v>307</v>
      </c>
      <c r="X46">
        <v>200</v>
      </c>
      <c r="Y46">
        <v>2</v>
      </c>
      <c r="Z46">
        <v>4</v>
      </c>
      <c r="AA46">
        <v>786</v>
      </c>
      <c r="AB46">
        <v>33</v>
      </c>
      <c r="AC46">
        <v>0</v>
      </c>
      <c r="AD46">
        <v>0</v>
      </c>
      <c r="AE46">
        <v>122</v>
      </c>
      <c r="AF46">
        <v>2</v>
      </c>
      <c r="AG46">
        <v>3</v>
      </c>
      <c r="AH46">
        <v>1</v>
      </c>
      <c r="AI46">
        <v>0</v>
      </c>
    </row>
    <row r="47" spans="1:35" x14ac:dyDescent="0.3">
      <c r="A47" s="3">
        <v>161</v>
      </c>
      <c r="B47">
        <v>0</v>
      </c>
      <c r="C47">
        <v>5</v>
      </c>
      <c r="D47">
        <v>2</v>
      </c>
      <c r="E47">
        <v>2</v>
      </c>
      <c r="F47">
        <v>40</v>
      </c>
      <c r="G47">
        <v>373</v>
      </c>
      <c r="H47">
        <v>307</v>
      </c>
      <c r="I47">
        <v>5</v>
      </c>
      <c r="J47">
        <v>0</v>
      </c>
      <c r="K47">
        <v>3</v>
      </c>
      <c r="L47">
        <v>0</v>
      </c>
      <c r="M47">
        <v>0</v>
      </c>
      <c r="N47">
        <v>171</v>
      </c>
      <c r="O47">
        <v>796</v>
      </c>
      <c r="P47">
        <v>783</v>
      </c>
      <c r="Q47">
        <v>414</v>
      </c>
      <c r="R47">
        <v>3</v>
      </c>
      <c r="S47">
        <v>608</v>
      </c>
      <c r="T47">
        <v>0</v>
      </c>
      <c r="U47">
        <v>247</v>
      </c>
      <c r="V47">
        <v>0</v>
      </c>
      <c r="W47">
        <v>289</v>
      </c>
      <c r="X47">
        <v>206</v>
      </c>
      <c r="Y47">
        <v>337</v>
      </c>
      <c r="Z47">
        <v>1</v>
      </c>
      <c r="AA47">
        <v>1260</v>
      </c>
      <c r="AB47">
        <v>955</v>
      </c>
      <c r="AC47">
        <v>42</v>
      </c>
      <c r="AD47">
        <v>0</v>
      </c>
      <c r="AE47">
        <v>417</v>
      </c>
      <c r="AF47">
        <v>9</v>
      </c>
      <c r="AG47">
        <v>637</v>
      </c>
      <c r="AH47">
        <v>0</v>
      </c>
      <c r="AI47">
        <v>0</v>
      </c>
    </row>
    <row r="48" spans="1:35" x14ac:dyDescent="0.3">
      <c r="A48" s="3">
        <v>162</v>
      </c>
      <c r="B48">
        <v>1</v>
      </c>
      <c r="C48">
        <v>947</v>
      </c>
      <c r="D48">
        <v>1</v>
      </c>
      <c r="E48">
        <v>0</v>
      </c>
      <c r="F48">
        <v>82</v>
      </c>
      <c r="G48">
        <v>24</v>
      </c>
      <c r="H48">
        <v>21</v>
      </c>
      <c r="I48">
        <v>24</v>
      </c>
      <c r="J48">
        <v>0</v>
      </c>
      <c r="K48">
        <v>0</v>
      </c>
      <c r="L48">
        <v>301</v>
      </c>
      <c r="M48">
        <v>0</v>
      </c>
      <c r="N48">
        <v>547</v>
      </c>
      <c r="O48">
        <v>178</v>
      </c>
      <c r="P48">
        <v>42</v>
      </c>
      <c r="Q48">
        <v>453</v>
      </c>
      <c r="R48">
        <v>163</v>
      </c>
      <c r="S48">
        <v>307</v>
      </c>
      <c r="T48">
        <v>0</v>
      </c>
      <c r="U48">
        <v>152</v>
      </c>
      <c r="V48">
        <v>0</v>
      </c>
      <c r="W48">
        <v>535</v>
      </c>
      <c r="X48">
        <v>0</v>
      </c>
      <c r="Y48">
        <v>339</v>
      </c>
      <c r="Z48">
        <v>1</v>
      </c>
      <c r="AA48">
        <v>1658</v>
      </c>
      <c r="AB48">
        <v>244</v>
      </c>
      <c r="AC48">
        <v>424</v>
      </c>
      <c r="AD48">
        <v>0</v>
      </c>
      <c r="AE48">
        <v>123</v>
      </c>
      <c r="AF48">
        <v>1</v>
      </c>
      <c r="AG48">
        <v>0</v>
      </c>
      <c r="AH48">
        <v>0</v>
      </c>
      <c r="AI48">
        <v>37</v>
      </c>
    </row>
    <row r="49" spans="1:35" x14ac:dyDescent="0.3">
      <c r="A49" s="3">
        <v>163</v>
      </c>
      <c r="B49">
        <v>1</v>
      </c>
      <c r="C49">
        <v>675</v>
      </c>
      <c r="D49">
        <v>0</v>
      </c>
      <c r="E49">
        <v>3</v>
      </c>
      <c r="F49">
        <v>136</v>
      </c>
      <c r="G49">
        <v>53</v>
      </c>
      <c r="H49">
        <v>393</v>
      </c>
      <c r="I49">
        <v>0</v>
      </c>
      <c r="J49">
        <v>0</v>
      </c>
      <c r="K49">
        <v>22</v>
      </c>
      <c r="L49">
        <v>744</v>
      </c>
      <c r="M49">
        <v>10</v>
      </c>
      <c r="N49">
        <v>0</v>
      </c>
      <c r="O49">
        <v>3</v>
      </c>
      <c r="P49">
        <v>288</v>
      </c>
      <c r="Q49">
        <v>65</v>
      </c>
      <c r="R49">
        <v>138</v>
      </c>
      <c r="S49">
        <v>498</v>
      </c>
      <c r="T49">
        <v>443</v>
      </c>
      <c r="U49">
        <v>3</v>
      </c>
      <c r="V49">
        <v>0</v>
      </c>
      <c r="W49">
        <v>21</v>
      </c>
      <c r="X49">
        <v>0</v>
      </c>
      <c r="Y49">
        <v>45</v>
      </c>
      <c r="Z49">
        <v>0</v>
      </c>
      <c r="AA49">
        <v>2970</v>
      </c>
      <c r="AB49">
        <v>484</v>
      </c>
      <c r="AC49">
        <v>32</v>
      </c>
      <c r="AD49">
        <v>0</v>
      </c>
      <c r="AE49">
        <v>2011</v>
      </c>
      <c r="AF49">
        <v>9</v>
      </c>
      <c r="AG49">
        <v>518</v>
      </c>
      <c r="AH49">
        <v>0</v>
      </c>
      <c r="AI49">
        <v>16</v>
      </c>
    </row>
    <row r="50" spans="1:35" x14ac:dyDescent="0.3">
      <c r="A50" s="3">
        <v>164</v>
      </c>
      <c r="B50">
        <v>0</v>
      </c>
      <c r="C50">
        <v>252</v>
      </c>
      <c r="D50">
        <v>87</v>
      </c>
      <c r="E50">
        <v>111</v>
      </c>
      <c r="F50">
        <v>199</v>
      </c>
      <c r="G50">
        <v>597</v>
      </c>
      <c r="H50">
        <v>19</v>
      </c>
      <c r="I50">
        <v>0</v>
      </c>
      <c r="J50">
        <v>0</v>
      </c>
      <c r="K50">
        <v>90</v>
      </c>
      <c r="L50">
        <v>809</v>
      </c>
      <c r="M50">
        <v>431</v>
      </c>
      <c r="N50">
        <v>0</v>
      </c>
      <c r="O50">
        <v>0</v>
      </c>
      <c r="P50">
        <v>0</v>
      </c>
      <c r="Q50">
        <v>104</v>
      </c>
      <c r="R50">
        <v>324</v>
      </c>
      <c r="S50">
        <v>528</v>
      </c>
      <c r="T50">
        <v>30</v>
      </c>
      <c r="U50">
        <v>0</v>
      </c>
      <c r="V50">
        <v>5</v>
      </c>
      <c r="W50">
        <v>228</v>
      </c>
      <c r="X50">
        <v>1042</v>
      </c>
      <c r="Y50">
        <v>2</v>
      </c>
      <c r="Z50">
        <v>0</v>
      </c>
      <c r="AA50">
        <v>13</v>
      </c>
      <c r="AB50">
        <v>1464</v>
      </c>
      <c r="AC50">
        <v>571</v>
      </c>
      <c r="AD50">
        <v>0</v>
      </c>
      <c r="AE50">
        <v>3000</v>
      </c>
      <c r="AF50">
        <v>3</v>
      </c>
      <c r="AG50">
        <v>22</v>
      </c>
      <c r="AH50">
        <v>0</v>
      </c>
      <c r="AI50">
        <v>5</v>
      </c>
    </row>
    <row r="51" spans="1:35" x14ac:dyDescent="0.3">
      <c r="A51" s="3">
        <v>165</v>
      </c>
      <c r="B51">
        <v>0</v>
      </c>
      <c r="C51">
        <v>226</v>
      </c>
      <c r="D51">
        <v>263</v>
      </c>
      <c r="E51">
        <v>0</v>
      </c>
      <c r="F51">
        <v>166</v>
      </c>
      <c r="G51">
        <v>1331</v>
      </c>
      <c r="H51">
        <v>5</v>
      </c>
      <c r="I51">
        <v>4</v>
      </c>
      <c r="J51">
        <v>78</v>
      </c>
      <c r="K51">
        <v>1019</v>
      </c>
      <c r="L51">
        <v>530</v>
      </c>
      <c r="M51">
        <v>0</v>
      </c>
      <c r="N51">
        <v>0</v>
      </c>
      <c r="O51">
        <v>519</v>
      </c>
      <c r="P51">
        <v>223</v>
      </c>
      <c r="Q51">
        <v>2098</v>
      </c>
      <c r="R51">
        <v>126</v>
      </c>
      <c r="S51">
        <v>115</v>
      </c>
      <c r="T51">
        <v>395</v>
      </c>
      <c r="U51">
        <v>109</v>
      </c>
      <c r="V51">
        <v>0</v>
      </c>
      <c r="W51">
        <v>761</v>
      </c>
      <c r="X51">
        <v>0</v>
      </c>
      <c r="Y51">
        <v>5</v>
      </c>
      <c r="Z51">
        <v>3</v>
      </c>
      <c r="AA51">
        <v>2170</v>
      </c>
      <c r="AB51">
        <v>2011</v>
      </c>
      <c r="AC51">
        <v>251</v>
      </c>
      <c r="AD51">
        <v>1</v>
      </c>
      <c r="AE51">
        <v>3573</v>
      </c>
      <c r="AF51">
        <v>0</v>
      </c>
      <c r="AG51">
        <v>7</v>
      </c>
      <c r="AH51">
        <v>0</v>
      </c>
      <c r="AI51">
        <v>925</v>
      </c>
    </row>
    <row r="52" spans="1:35" x14ac:dyDescent="0.3">
      <c r="A52" s="3">
        <v>166</v>
      </c>
      <c r="B52">
        <v>0</v>
      </c>
      <c r="C52">
        <v>23</v>
      </c>
      <c r="D52">
        <v>384</v>
      </c>
      <c r="E52">
        <v>170</v>
      </c>
      <c r="F52">
        <v>268</v>
      </c>
      <c r="G52">
        <v>592</v>
      </c>
      <c r="H52">
        <v>1008</v>
      </c>
      <c r="I52">
        <v>20</v>
      </c>
      <c r="J52">
        <v>7</v>
      </c>
      <c r="K52">
        <v>141</v>
      </c>
      <c r="L52">
        <v>0</v>
      </c>
      <c r="M52">
        <v>574</v>
      </c>
      <c r="N52">
        <v>258</v>
      </c>
      <c r="O52">
        <v>707</v>
      </c>
      <c r="P52">
        <v>1465</v>
      </c>
      <c r="Q52">
        <v>1092</v>
      </c>
      <c r="R52">
        <v>328</v>
      </c>
      <c r="S52">
        <v>395</v>
      </c>
      <c r="T52">
        <v>0</v>
      </c>
      <c r="U52">
        <v>0</v>
      </c>
      <c r="V52">
        <v>0</v>
      </c>
      <c r="W52">
        <v>221</v>
      </c>
      <c r="X52">
        <v>2</v>
      </c>
      <c r="Y52">
        <v>1568</v>
      </c>
      <c r="Z52">
        <v>2</v>
      </c>
      <c r="AA52">
        <v>2342</v>
      </c>
      <c r="AB52">
        <v>141</v>
      </c>
      <c r="AC52">
        <v>0</v>
      </c>
      <c r="AD52">
        <v>3</v>
      </c>
      <c r="AE52">
        <v>1390</v>
      </c>
      <c r="AF52">
        <v>6</v>
      </c>
      <c r="AG52">
        <v>3</v>
      </c>
      <c r="AH52">
        <v>0</v>
      </c>
      <c r="AI52">
        <v>345</v>
      </c>
    </row>
    <row r="53" spans="1:35" x14ac:dyDescent="0.3">
      <c r="A53" s="3">
        <v>167</v>
      </c>
      <c r="B53">
        <v>0</v>
      </c>
      <c r="C53">
        <v>2</v>
      </c>
      <c r="D53">
        <v>173</v>
      </c>
      <c r="E53">
        <v>11</v>
      </c>
      <c r="F53">
        <v>156</v>
      </c>
      <c r="G53">
        <v>241</v>
      </c>
      <c r="H53">
        <v>722</v>
      </c>
      <c r="I53">
        <v>265</v>
      </c>
      <c r="J53">
        <v>4</v>
      </c>
      <c r="K53">
        <v>878</v>
      </c>
      <c r="L53">
        <v>11</v>
      </c>
      <c r="M53">
        <v>278</v>
      </c>
      <c r="N53">
        <v>2363</v>
      </c>
      <c r="O53">
        <v>351</v>
      </c>
      <c r="P53">
        <v>1457</v>
      </c>
      <c r="Q53">
        <v>128</v>
      </c>
      <c r="R53">
        <v>281</v>
      </c>
      <c r="S53">
        <v>273</v>
      </c>
      <c r="T53">
        <v>2</v>
      </c>
      <c r="U53">
        <v>314</v>
      </c>
      <c r="V53">
        <v>0</v>
      </c>
      <c r="W53">
        <v>424</v>
      </c>
      <c r="X53">
        <v>1015</v>
      </c>
      <c r="Y53">
        <v>618</v>
      </c>
      <c r="Z53">
        <v>0</v>
      </c>
      <c r="AA53">
        <v>3443</v>
      </c>
      <c r="AB53">
        <v>383</v>
      </c>
      <c r="AC53">
        <v>389</v>
      </c>
      <c r="AD53">
        <v>33</v>
      </c>
      <c r="AE53">
        <v>201</v>
      </c>
      <c r="AF53">
        <v>6</v>
      </c>
      <c r="AG53">
        <v>54</v>
      </c>
      <c r="AH53">
        <v>0</v>
      </c>
      <c r="AI53">
        <v>2697</v>
      </c>
    </row>
    <row r="54" spans="1:35" x14ac:dyDescent="0.3">
      <c r="A54" s="3">
        <v>168</v>
      </c>
      <c r="B54">
        <v>0</v>
      </c>
      <c r="C54">
        <v>4592</v>
      </c>
      <c r="D54">
        <v>730</v>
      </c>
      <c r="E54">
        <v>0</v>
      </c>
      <c r="F54">
        <v>28</v>
      </c>
      <c r="G54">
        <v>101</v>
      </c>
      <c r="H54">
        <v>366</v>
      </c>
      <c r="I54">
        <v>207</v>
      </c>
      <c r="J54">
        <v>90</v>
      </c>
      <c r="K54">
        <v>64</v>
      </c>
      <c r="L54">
        <v>241</v>
      </c>
      <c r="M54">
        <v>0</v>
      </c>
      <c r="N54">
        <v>11</v>
      </c>
      <c r="O54">
        <v>424</v>
      </c>
      <c r="P54">
        <v>110</v>
      </c>
      <c r="Q54">
        <v>322</v>
      </c>
      <c r="R54">
        <v>4</v>
      </c>
      <c r="S54">
        <v>593</v>
      </c>
      <c r="T54">
        <v>1298</v>
      </c>
      <c r="U54">
        <v>597</v>
      </c>
      <c r="V54">
        <v>0</v>
      </c>
      <c r="W54">
        <v>233</v>
      </c>
      <c r="X54">
        <v>8</v>
      </c>
      <c r="Y54">
        <v>3</v>
      </c>
      <c r="Z54">
        <v>2</v>
      </c>
      <c r="AA54">
        <v>2131</v>
      </c>
      <c r="AB54">
        <v>2083</v>
      </c>
      <c r="AC54">
        <v>406</v>
      </c>
      <c r="AD54">
        <v>857</v>
      </c>
      <c r="AE54">
        <v>2872</v>
      </c>
      <c r="AF54">
        <v>12</v>
      </c>
      <c r="AG54">
        <v>1019</v>
      </c>
      <c r="AH54">
        <v>0</v>
      </c>
      <c r="AI54">
        <v>586</v>
      </c>
    </row>
    <row r="55" spans="1:35" x14ac:dyDescent="0.3">
      <c r="A55" s="3">
        <v>169</v>
      </c>
      <c r="B55">
        <v>3</v>
      </c>
      <c r="C55">
        <v>1317</v>
      </c>
      <c r="D55">
        <v>1015</v>
      </c>
      <c r="E55">
        <v>0</v>
      </c>
      <c r="F55">
        <v>1024</v>
      </c>
      <c r="G55">
        <v>2186</v>
      </c>
      <c r="H55">
        <v>248</v>
      </c>
      <c r="I55">
        <v>662</v>
      </c>
      <c r="J55">
        <v>228</v>
      </c>
      <c r="K55">
        <v>0</v>
      </c>
      <c r="L55">
        <v>178</v>
      </c>
      <c r="M55">
        <v>187</v>
      </c>
      <c r="N55">
        <v>1607</v>
      </c>
      <c r="O55">
        <v>1477</v>
      </c>
      <c r="P55">
        <v>618</v>
      </c>
      <c r="Q55">
        <v>1262</v>
      </c>
      <c r="R55">
        <v>944</v>
      </c>
      <c r="S55">
        <v>1781</v>
      </c>
      <c r="T55">
        <v>433</v>
      </c>
      <c r="U55">
        <v>996</v>
      </c>
      <c r="V55">
        <v>0</v>
      </c>
      <c r="W55">
        <v>886</v>
      </c>
      <c r="X55">
        <v>382</v>
      </c>
      <c r="Y55">
        <v>467</v>
      </c>
      <c r="Z55">
        <v>32</v>
      </c>
      <c r="AA55">
        <v>948</v>
      </c>
      <c r="AB55">
        <v>0</v>
      </c>
      <c r="AC55">
        <v>93</v>
      </c>
      <c r="AD55">
        <v>273</v>
      </c>
      <c r="AE55">
        <v>4688</v>
      </c>
      <c r="AF55">
        <v>237</v>
      </c>
      <c r="AG55">
        <v>14</v>
      </c>
      <c r="AH55">
        <v>2</v>
      </c>
      <c r="AI55">
        <v>29</v>
      </c>
    </row>
    <row r="56" spans="1:35" x14ac:dyDescent="0.3">
      <c r="A56" s="3">
        <v>170</v>
      </c>
      <c r="B56">
        <v>2</v>
      </c>
      <c r="C56">
        <v>1506</v>
      </c>
      <c r="D56">
        <v>2132</v>
      </c>
      <c r="E56">
        <v>1156</v>
      </c>
      <c r="F56">
        <v>360</v>
      </c>
      <c r="G56">
        <v>293</v>
      </c>
      <c r="H56">
        <v>43</v>
      </c>
      <c r="I56">
        <v>57</v>
      </c>
      <c r="J56">
        <v>62</v>
      </c>
      <c r="K56">
        <v>726</v>
      </c>
      <c r="L56">
        <v>0</v>
      </c>
      <c r="M56">
        <v>50</v>
      </c>
      <c r="N56">
        <v>2143</v>
      </c>
      <c r="O56">
        <v>85</v>
      </c>
      <c r="P56">
        <v>94</v>
      </c>
      <c r="Q56">
        <v>500</v>
      </c>
      <c r="R56">
        <v>894</v>
      </c>
      <c r="S56">
        <v>396</v>
      </c>
      <c r="T56">
        <v>26</v>
      </c>
      <c r="U56">
        <v>656</v>
      </c>
      <c r="V56">
        <v>0</v>
      </c>
      <c r="W56">
        <v>1533</v>
      </c>
      <c r="X56">
        <v>1366</v>
      </c>
      <c r="Y56">
        <v>174</v>
      </c>
      <c r="Z56">
        <v>344</v>
      </c>
      <c r="AA56">
        <v>681</v>
      </c>
      <c r="AB56">
        <v>1226</v>
      </c>
      <c r="AC56">
        <v>58</v>
      </c>
      <c r="AD56">
        <v>103</v>
      </c>
      <c r="AE56">
        <v>61</v>
      </c>
      <c r="AF56">
        <v>138</v>
      </c>
      <c r="AG56">
        <v>677</v>
      </c>
      <c r="AH56">
        <v>1</v>
      </c>
      <c r="AI56">
        <v>724</v>
      </c>
    </row>
    <row r="57" spans="1:35" x14ac:dyDescent="0.3">
      <c r="A57" s="3">
        <v>171</v>
      </c>
      <c r="B57">
        <v>3</v>
      </c>
      <c r="C57">
        <v>640</v>
      </c>
      <c r="D57">
        <v>34</v>
      </c>
      <c r="E57">
        <v>1486</v>
      </c>
      <c r="F57">
        <v>442</v>
      </c>
      <c r="G57">
        <v>2497</v>
      </c>
      <c r="H57">
        <v>48</v>
      </c>
      <c r="I57">
        <v>1091</v>
      </c>
      <c r="J57">
        <v>1289</v>
      </c>
      <c r="K57">
        <v>716</v>
      </c>
      <c r="L57">
        <v>132</v>
      </c>
      <c r="M57">
        <v>254</v>
      </c>
      <c r="N57">
        <v>82</v>
      </c>
      <c r="O57">
        <v>309</v>
      </c>
      <c r="P57">
        <v>1885</v>
      </c>
      <c r="Q57">
        <v>274</v>
      </c>
      <c r="R57">
        <v>234</v>
      </c>
      <c r="S57">
        <v>1805</v>
      </c>
      <c r="T57">
        <v>90</v>
      </c>
      <c r="U57">
        <v>1013</v>
      </c>
      <c r="V57">
        <v>0</v>
      </c>
      <c r="W57">
        <v>368</v>
      </c>
      <c r="X57">
        <v>3739</v>
      </c>
      <c r="Y57">
        <v>476</v>
      </c>
      <c r="Z57">
        <v>0</v>
      </c>
      <c r="AA57">
        <v>1895</v>
      </c>
      <c r="AB57">
        <v>623</v>
      </c>
      <c r="AC57">
        <v>1029</v>
      </c>
      <c r="AD57">
        <v>125</v>
      </c>
      <c r="AE57">
        <v>243</v>
      </c>
      <c r="AF57">
        <v>98</v>
      </c>
      <c r="AG57">
        <v>62</v>
      </c>
      <c r="AH57">
        <v>345</v>
      </c>
      <c r="AI57">
        <v>117</v>
      </c>
    </row>
    <row r="58" spans="1:35" x14ac:dyDescent="0.3">
      <c r="A58" s="3">
        <v>172</v>
      </c>
      <c r="B58">
        <v>2</v>
      </c>
      <c r="C58">
        <v>2968</v>
      </c>
      <c r="D58">
        <v>3310</v>
      </c>
      <c r="E58">
        <v>1726</v>
      </c>
      <c r="F58">
        <v>649</v>
      </c>
      <c r="G58">
        <v>0</v>
      </c>
      <c r="H58">
        <v>519</v>
      </c>
      <c r="I58">
        <v>929</v>
      </c>
      <c r="J58">
        <v>2857</v>
      </c>
      <c r="K58">
        <v>237</v>
      </c>
      <c r="L58">
        <v>1191</v>
      </c>
      <c r="M58">
        <v>2572</v>
      </c>
      <c r="N58">
        <v>1222</v>
      </c>
      <c r="O58">
        <v>144</v>
      </c>
      <c r="P58">
        <v>1230</v>
      </c>
      <c r="Q58">
        <v>486</v>
      </c>
      <c r="R58">
        <v>1946</v>
      </c>
      <c r="S58">
        <v>147</v>
      </c>
      <c r="T58">
        <v>12</v>
      </c>
      <c r="U58">
        <v>293</v>
      </c>
      <c r="V58">
        <v>240</v>
      </c>
      <c r="W58">
        <v>2214</v>
      </c>
      <c r="X58">
        <v>2594</v>
      </c>
      <c r="Y58">
        <v>83</v>
      </c>
      <c r="Z58">
        <v>16</v>
      </c>
      <c r="AA58">
        <v>2458</v>
      </c>
      <c r="AB58">
        <v>324</v>
      </c>
      <c r="AC58">
        <v>52</v>
      </c>
      <c r="AD58">
        <v>3</v>
      </c>
      <c r="AE58">
        <v>90</v>
      </c>
      <c r="AF58">
        <v>35</v>
      </c>
      <c r="AG58">
        <v>16</v>
      </c>
      <c r="AH58">
        <v>0</v>
      </c>
      <c r="AI58">
        <v>4585</v>
      </c>
    </row>
    <row r="59" spans="1:35" x14ac:dyDescent="0.3">
      <c r="A59" s="3">
        <v>173</v>
      </c>
      <c r="B59">
        <v>0</v>
      </c>
      <c r="C59">
        <v>880</v>
      </c>
      <c r="D59">
        <v>107</v>
      </c>
      <c r="E59">
        <v>2967</v>
      </c>
      <c r="F59">
        <v>608</v>
      </c>
      <c r="G59">
        <v>739</v>
      </c>
      <c r="H59">
        <v>1359</v>
      </c>
      <c r="I59">
        <v>1886</v>
      </c>
      <c r="J59">
        <v>1340</v>
      </c>
      <c r="K59">
        <v>251</v>
      </c>
      <c r="L59">
        <v>1955</v>
      </c>
      <c r="M59">
        <v>6</v>
      </c>
      <c r="N59">
        <v>422</v>
      </c>
      <c r="O59">
        <v>710</v>
      </c>
      <c r="P59">
        <v>2523</v>
      </c>
      <c r="Q59">
        <v>1366</v>
      </c>
      <c r="R59">
        <v>74</v>
      </c>
      <c r="S59">
        <v>686</v>
      </c>
      <c r="T59">
        <v>165</v>
      </c>
      <c r="U59">
        <v>43</v>
      </c>
      <c r="V59">
        <v>331</v>
      </c>
      <c r="W59">
        <v>1228</v>
      </c>
      <c r="X59">
        <v>0</v>
      </c>
      <c r="Y59">
        <v>3153</v>
      </c>
      <c r="Z59">
        <v>769</v>
      </c>
      <c r="AA59">
        <v>2335</v>
      </c>
      <c r="AB59">
        <v>727</v>
      </c>
      <c r="AC59">
        <v>329</v>
      </c>
      <c r="AD59">
        <v>1139</v>
      </c>
      <c r="AE59">
        <v>39</v>
      </c>
      <c r="AF59">
        <v>15</v>
      </c>
      <c r="AG59">
        <v>376</v>
      </c>
      <c r="AH59">
        <v>0</v>
      </c>
      <c r="AI59">
        <v>91</v>
      </c>
    </row>
    <row r="60" spans="1:35" x14ac:dyDescent="0.3">
      <c r="A60" s="3">
        <v>174</v>
      </c>
      <c r="B60">
        <v>957</v>
      </c>
      <c r="C60">
        <v>1649</v>
      </c>
      <c r="D60">
        <v>1435</v>
      </c>
      <c r="E60">
        <v>123</v>
      </c>
      <c r="F60">
        <v>959</v>
      </c>
      <c r="G60">
        <v>1805</v>
      </c>
      <c r="H60">
        <v>2640</v>
      </c>
      <c r="I60">
        <v>1299</v>
      </c>
      <c r="J60">
        <v>476</v>
      </c>
      <c r="K60">
        <v>1330</v>
      </c>
      <c r="L60">
        <v>377</v>
      </c>
      <c r="M60">
        <v>1253</v>
      </c>
      <c r="N60">
        <v>14</v>
      </c>
      <c r="O60">
        <v>962</v>
      </c>
      <c r="P60">
        <v>1233</v>
      </c>
      <c r="Q60">
        <v>317</v>
      </c>
      <c r="R60">
        <v>75</v>
      </c>
      <c r="S60">
        <v>2044</v>
      </c>
      <c r="T60">
        <v>2163</v>
      </c>
      <c r="U60">
        <v>32</v>
      </c>
      <c r="V60">
        <v>1503</v>
      </c>
      <c r="W60">
        <v>407</v>
      </c>
      <c r="X60">
        <v>1686</v>
      </c>
      <c r="Y60">
        <v>2153</v>
      </c>
      <c r="Z60">
        <v>3053</v>
      </c>
      <c r="AA60">
        <v>1233</v>
      </c>
      <c r="AB60">
        <v>1626</v>
      </c>
      <c r="AC60">
        <v>147</v>
      </c>
      <c r="AD60">
        <v>657</v>
      </c>
      <c r="AE60">
        <v>214</v>
      </c>
      <c r="AF60">
        <v>0</v>
      </c>
      <c r="AG60">
        <v>1541</v>
      </c>
      <c r="AH60">
        <v>302</v>
      </c>
      <c r="AI60">
        <v>1</v>
      </c>
    </row>
    <row r="61" spans="1:35" x14ac:dyDescent="0.3">
      <c r="A61" s="3">
        <v>175</v>
      </c>
      <c r="B61">
        <v>0</v>
      </c>
      <c r="C61">
        <v>2297</v>
      </c>
      <c r="D61">
        <v>89</v>
      </c>
      <c r="E61">
        <v>32</v>
      </c>
      <c r="F61">
        <v>685</v>
      </c>
      <c r="G61">
        <v>2343</v>
      </c>
      <c r="H61">
        <v>208</v>
      </c>
      <c r="I61">
        <v>3087</v>
      </c>
      <c r="J61">
        <v>2010</v>
      </c>
      <c r="K61">
        <v>114</v>
      </c>
      <c r="L61">
        <v>84</v>
      </c>
      <c r="M61">
        <v>519</v>
      </c>
      <c r="N61">
        <v>267</v>
      </c>
      <c r="O61">
        <v>1938</v>
      </c>
      <c r="P61">
        <v>1857</v>
      </c>
      <c r="Q61">
        <v>1540</v>
      </c>
      <c r="R61">
        <v>752</v>
      </c>
      <c r="S61">
        <v>2113</v>
      </c>
      <c r="T61">
        <v>610</v>
      </c>
      <c r="U61">
        <v>934</v>
      </c>
      <c r="V61">
        <v>42</v>
      </c>
      <c r="W61">
        <v>2177</v>
      </c>
      <c r="X61">
        <v>1343</v>
      </c>
      <c r="Y61">
        <v>709</v>
      </c>
      <c r="Z61">
        <v>462</v>
      </c>
      <c r="AA61">
        <v>1252</v>
      </c>
      <c r="AB61">
        <v>1368</v>
      </c>
      <c r="AC61">
        <v>744</v>
      </c>
      <c r="AD61">
        <v>846</v>
      </c>
      <c r="AE61">
        <v>186</v>
      </c>
      <c r="AF61">
        <v>96</v>
      </c>
      <c r="AG61">
        <v>408</v>
      </c>
      <c r="AH61">
        <v>3374</v>
      </c>
      <c r="AI61">
        <v>3222</v>
      </c>
    </row>
    <row r="62" spans="1:35" x14ac:dyDescent="0.3">
      <c r="A62" s="3">
        <v>176</v>
      </c>
      <c r="B62">
        <v>14</v>
      </c>
      <c r="C62">
        <v>2247</v>
      </c>
      <c r="D62">
        <v>1004</v>
      </c>
      <c r="E62">
        <v>1523</v>
      </c>
      <c r="F62">
        <v>941</v>
      </c>
      <c r="G62">
        <v>244</v>
      </c>
      <c r="H62">
        <v>1710</v>
      </c>
      <c r="I62">
        <v>138</v>
      </c>
      <c r="J62">
        <v>334</v>
      </c>
      <c r="K62">
        <v>313</v>
      </c>
      <c r="L62">
        <v>2</v>
      </c>
      <c r="M62">
        <v>979</v>
      </c>
      <c r="N62">
        <v>124</v>
      </c>
      <c r="O62">
        <v>866</v>
      </c>
      <c r="P62">
        <v>1246</v>
      </c>
      <c r="Q62">
        <v>672</v>
      </c>
      <c r="R62">
        <v>505</v>
      </c>
      <c r="S62">
        <v>1187</v>
      </c>
      <c r="T62">
        <v>1265</v>
      </c>
      <c r="U62">
        <v>232</v>
      </c>
      <c r="V62">
        <v>392</v>
      </c>
      <c r="W62">
        <v>1291</v>
      </c>
      <c r="X62">
        <v>1023</v>
      </c>
      <c r="Y62">
        <v>714</v>
      </c>
      <c r="Z62">
        <v>65</v>
      </c>
      <c r="AA62">
        <v>2588</v>
      </c>
      <c r="AB62">
        <v>1540</v>
      </c>
      <c r="AC62">
        <v>138</v>
      </c>
      <c r="AD62">
        <v>12</v>
      </c>
      <c r="AE62">
        <v>790</v>
      </c>
      <c r="AF62">
        <v>724</v>
      </c>
      <c r="AG62">
        <v>438</v>
      </c>
      <c r="AH62">
        <v>647</v>
      </c>
      <c r="AI62">
        <v>1387</v>
      </c>
    </row>
    <row r="63" spans="1:35" x14ac:dyDescent="0.3">
      <c r="A63" s="3">
        <v>177</v>
      </c>
      <c r="B63">
        <v>5</v>
      </c>
      <c r="C63">
        <v>504</v>
      </c>
      <c r="D63">
        <v>5016</v>
      </c>
      <c r="E63">
        <v>203</v>
      </c>
      <c r="F63">
        <v>528</v>
      </c>
      <c r="G63">
        <v>845</v>
      </c>
      <c r="H63">
        <v>728</v>
      </c>
      <c r="I63">
        <v>223</v>
      </c>
      <c r="J63">
        <v>1080</v>
      </c>
      <c r="K63">
        <v>352</v>
      </c>
      <c r="L63">
        <v>76</v>
      </c>
      <c r="M63">
        <v>121</v>
      </c>
      <c r="N63">
        <v>277</v>
      </c>
      <c r="O63">
        <v>849</v>
      </c>
      <c r="P63">
        <v>73</v>
      </c>
      <c r="Q63">
        <v>1216</v>
      </c>
      <c r="R63">
        <v>1949</v>
      </c>
      <c r="S63">
        <v>2048</v>
      </c>
      <c r="T63">
        <v>986</v>
      </c>
      <c r="U63">
        <v>692</v>
      </c>
      <c r="V63">
        <v>97</v>
      </c>
      <c r="W63">
        <v>991</v>
      </c>
      <c r="X63">
        <v>734</v>
      </c>
      <c r="Y63">
        <v>1595</v>
      </c>
      <c r="Z63">
        <v>340</v>
      </c>
      <c r="AA63">
        <v>3473</v>
      </c>
      <c r="AB63">
        <v>891</v>
      </c>
      <c r="AC63">
        <v>860</v>
      </c>
      <c r="AD63">
        <v>1635</v>
      </c>
      <c r="AE63">
        <v>1151</v>
      </c>
      <c r="AF63">
        <v>16</v>
      </c>
      <c r="AG63">
        <v>1023</v>
      </c>
      <c r="AH63">
        <v>3290</v>
      </c>
      <c r="AI63">
        <v>847</v>
      </c>
    </row>
    <row r="64" spans="1:35" x14ac:dyDescent="0.3">
      <c r="A64" s="3">
        <v>178</v>
      </c>
      <c r="B64">
        <v>35</v>
      </c>
      <c r="C64">
        <v>5845</v>
      </c>
      <c r="D64">
        <v>1001</v>
      </c>
      <c r="E64">
        <v>570</v>
      </c>
      <c r="F64">
        <v>1076</v>
      </c>
      <c r="G64">
        <v>3612</v>
      </c>
      <c r="H64">
        <v>241</v>
      </c>
      <c r="I64">
        <v>2753</v>
      </c>
      <c r="J64">
        <v>169</v>
      </c>
      <c r="K64">
        <v>1402</v>
      </c>
      <c r="L64">
        <v>603</v>
      </c>
      <c r="M64">
        <v>950</v>
      </c>
      <c r="N64">
        <v>674</v>
      </c>
      <c r="O64">
        <v>1432</v>
      </c>
      <c r="P64">
        <v>992</v>
      </c>
      <c r="Q64">
        <v>1539</v>
      </c>
      <c r="R64">
        <v>848</v>
      </c>
      <c r="S64">
        <v>2941</v>
      </c>
      <c r="T64">
        <v>1438</v>
      </c>
      <c r="U64">
        <v>34</v>
      </c>
      <c r="V64">
        <v>108</v>
      </c>
      <c r="W64">
        <v>3822</v>
      </c>
      <c r="X64">
        <v>1642</v>
      </c>
      <c r="Y64">
        <v>2499</v>
      </c>
      <c r="Z64">
        <v>4787</v>
      </c>
      <c r="AA64">
        <v>2869</v>
      </c>
      <c r="AB64">
        <v>1495</v>
      </c>
      <c r="AC64">
        <v>1454</v>
      </c>
      <c r="AD64">
        <v>707</v>
      </c>
      <c r="AE64">
        <v>256</v>
      </c>
      <c r="AF64">
        <v>268</v>
      </c>
      <c r="AG64">
        <v>459</v>
      </c>
      <c r="AH64">
        <v>57</v>
      </c>
      <c r="AI64">
        <v>695</v>
      </c>
    </row>
    <row r="65" spans="1:35" x14ac:dyDescent="0.3">
      <c r="A65" s="3">
        <v>179</v>
      </c>
      <c r="B65">
        <v>25</v>
      </c>
      <c r="C65">
        <v>5818</v>
      </c>
      <c r="D65">
        <v>1549</v>
      </c>
      <c r="E65">
        <v>2156</v>
      </c>
      <c r="F65">
        <v>945</v>
      </c>
      <c r="G65">
        <v>489</v>
      </c>
      <c r="H65">
        <v>530</v>
      </c>
      <c r="I65">
        <v>1711</v>
      </c>
      <c r="J65">
        <v>2536</v>
      </c>
      <c r="K65">
        <v>757</v>
      </c>
      <c r="L65">
        <v>2</v>
      </c>
      <c r="M65">
        <v>1270</v>
      </c>
      <c r="N65">
        <v>336</v>
      </c>
      <c r="O65">
        <v>181</v>
      </c>
      <c r="P65">
        <v>2763</v>
      </c>
      <c r="Q65">
        <v>1211</v>
      </c>
      <c r="R65">
        <v>319</v>
      </c>
      <c r="S65">
        <v>555</v>
      </c>
      <c r="T65">
        <v>1093</v>
      </c>
      <c r="U65">
        <v>198</v>
      </c>
      <c r="V65">
        <v>53</v>
      </c>
      <c r="W65">
        <v>1671</v>
      </c>
      <c r="X65">
        <v>3995</v>
      </c>
      <c r="Y65">
        <v>2293</v>
      </c>
      <c r="Z65">
        <v>705</v>
      </c>
      <c r="AA65">
        <v>5927</v>
      </c>
      <c r="AB65">
        <v>1693</v>
      </c>
      <c r="AC65">
        <v>2933</v>
      </c>
      <c r="AD65">
        <v>1187</v>
      </c>
      <c r="AE65">
        <v>774</v>
      </c>
      <c r="AF65">
        <v>308</v>
      </c>
      <c r="AG65">
        <v>993</v>
      </c>
      <c r="AH65">
        <v>372</v>
      </c>
      <c r="AI65">
        <v>2526.7438898155401</v>
      </c>
    </row>
    <row r="66" spans="1:35" x14ac:dyDescent="0.3">
      <c r="A66" s="3">
        <v>180</v>
      </c>
      <c r="B66">
        <v>1144</v>
      </c>
      <c r="C66">
        <v>1254</v>
      </c>
      <c r="D66">
        <v>937</v>
      </c>
      <c r="E66">
        <v>3239</v>
      </c>
      <c r="F66">
        <v>5291</v>
      </c>
      <c r="G66">
        <v>545</v>
      </c>
      <c r="H66">
        <v>2162</v>
      </c>
      <c r="I66">
        <v>754</v>
      </c>
      <c r="J66">
        <v>3066</v>
      </c>
      <c r="K66">
        <v>2292</v>
      </c>
      <c r="L66">
        <v>994</v>
      </c>
      <c r="M66">
        <v>1239</v>
      </c>
      <c r="N66">
        <v>860</v>
      </c>
      <c r="O66">
        <v>311</v>
      </c>
      <c r="P66">
        <v>475</v>
      </c>
      <c r="Q66">
        <v>4090</v>
      </c>
      <c r="R66">
        <v>976</v>
      </c>
      <c r="S66">
        <v>539</v>
      </c>
      <c r="T66">
        <v>1205</v>
      </c>
      <c r="U66">
        <v>670</v>
      </c>
      <c r="V66">
        <v>1042</v>
      </c>
      <c r="W66">
        <v>1286</v>
      </c>
      <c r="X66">
        <v>1252</v>
      </c>
      <c r="Y66">
        <v>40</v>
      </c>
      <c r="Z66">
        <v>3098</v>
      </c>
      <c r="AA66">
        <v>4905</v>
      </c>
      <c r="AB66">
        <v>1683</v>
      </c>
      <c r="AC66">
        <v>1429</v>
      </c>
      <c r="AD66">
        <v>474</v>
      </c>
      <c r="AE66">
        <v>200</v>
      </c>
      <c r="AF66">
        <v>81</v>
      </c>
      <c r="AG66">
        <v>464</v>
      </c>
      <c r="AH66">
        <v>43</v>
      </c>
      <c r="AI66">
        <v>86</v>
      </c>
    </row>
    <row r="67" spans="1:35" x14ac:dyDescent="0.3">
      <c r="A67" s="3">
        <v>181</v>
      </c>
      <c r="B67">
        <v>8145</v>
      </c>
      <c r="C67">
        <v>1120</v>
      </c>
      <c r="D67">
        <v>1486</v>
      </c>
      <c r="E67">
        <v>4753</v>
      </c>
      <c r="F67">
        <v>3891</v>
      </c>
      <c r="G67">
        <v>2721</v>
      </c>
      <c r="H67">
        <v>3558</v>
      </c>
      <c r="I67">
        <v>7</v>
      </c>
      <c r="J67">
        <v>848</v>
      </c>
      <c r="K67">
        <v>841</v>
      </c>
      <c r="L67">
        <v>1062</v>
      </c>
      <c r="M67">
        <v>1741</v>
      </c>
      <c r="N67">
        <v>398</v>
      </c>
      <c r="O67">
        <v>1918</v>
      </c>
      <c r="P67">
        <v>2405</v>
      </c>
      <c r="Q67">
        <v>3672</v>
      </c>
      <c r="R67">
        <v>90</v>
      </c>
      <c r="S67">
        <v>528</v>
      </c>
      <c r="T67">
        <v>1086</v>
      </c>
      <c r="U67">
        <v>1300</v>
      </c>
      <c r="V67">
        <v>1481</v>
      </c>
      <c r="W67">
        <v>2706</v>
      </c>
      <c r="X67">
        <v>6</v>
      </c>
      <c r="Y67">
        <v>4877</v>
      </c>
      <c r="Z67">
        <v>54</v>
      </c>
      <c r="AA67">
        <v>2116</v>
      </c>
      <c r="AB67">
        <v>662</v>
      </c>
      <c r="AC67">
        <v>150</v>
      </c>
      <c r="AD67">
        <v>400</v>
      </c>
      <c r="AE67">
        <v>344</v>
      </c>
      <c r="AF67">
        <v>67</v>
      </c>
      <c r="AG67">
        <v>1551</v>
      </c>
      <c r="AH67">
        <v>2114</v>
      </c>
      <c r="AI67">
        <v>1857</v>
      </c>
    </row>
    <row r="68" spans="1:35" x14ac:dyDescent="0.3">
      <c r="A68" s="3">
        <v>182</v>
      </c>
      <c r="B68">
        <v>1775</v>
      </c>
      <c r="C68">
        <v>1393</v>
      </c>
      <c r="D68">
        <v>190</v>
      </c>
      <c r="E68">
        <v>2743</v>
      </c>
      <c r="F68">
        <v>2307</v>
      </c>
      <c r="G68">
        <v>822</v>
      </c>
      <c r="H68">
        <v>274</v>
      </c>
      <c r="I68">
        <v>1070</v>
      </c>
      <c r="J68">
        <v>218</v>
      </c>
      <c r="K68">
        <v>210</v>
      </c>
      <c r="L68">
        <v>520</v>
      </c>
      <c r="M68">
        <v>1979</v>
      </c>
      <c r="N68">
        <v>1101</v>
      </c>
      <c r="O68">
        <v>1453</v>
      </c>
      <c r="P68">
        <v>1208</v>
      </c>
      <c r="Q68">
        <v>1487</v>
      </c>
      <c r="R68">
        <v>0</v>
      </c>
      <c r="S68">
        <v>679</v>
      </c>
      <c r="T68">
        <v>3271</v>
      </c>
      <c r="U68">
        <v>1076</v>
      </c>
      <c r="V68">
        <v>849</v>
      </c>
      <c r="W68">
        <v>472</v>
      </c>
      <c r="X68">
        <v>434</v>
      </c>
      <c r="Y68">
        <v>3405</v>
      </c>
      <c r="Z68">
        <v>1083</v>
      </c>
      <c r="AA68">
        <v>1869</v>
      </c>
      <c r="AB68">
        <v>2575</v>
      </c>
      <c r="AC68">
        <v>1021</v>
      </c>
      <c r="AD68">
        <v>61</v>
      </c>
      <c r="AE68">
        <v>261</v>
      </c>
      <c r="AF68">
        <v>177</v>
      </c>
      <c r="AG68">
        <v>1188</v>
      </c>
      <c r="AH68">
        <v>903</v>
      </c>
      <c r="AI68">
        <v>3406</v>
      </c>
    </row>
    <row r="69" spans="1:35" x14ac:dyDescent="0.3">
      <c r="A69" s="3">
        <v>183</v>
      </c>
      <c r="B69">
        <v>604</v>
      </c>
      <c r="C69">
        <v>1449</v>
      </c>
      <c r="D69">
        <v>1100</v>
      </c>
      <c r="E69">
        <v>2707</v>
      </c>
      <c r="F69">
        <v>902</v>
      </c>
      <c r="G69">
        <v>218</v>
      </c>
      <c r="H69">
        <v>1551</v>
      </c>
      <c r="I69">
        <v>423</v>
      </c>
      <c r="J69">
        <v>1114</v>
      </c>
      <c r="K69">
        <v>50</v>
      </c>
      <c r="L69">
        <v>602</v>
      </c>
      <c r="M69">
        <v>512</v>
      </c>
      <c r="N69">
        <v>2379</v>
      </c>
      <c r="O69">
        <v>3161</v>
      </c>
      <c r="P69">
        <v>722</v>
      </c>
      <c r="Q69">
        <v>151</v>
      </c>
      <c r="R69">
        <v>882</v>
      </c>
      <c r="S69">
        <v>2405</v>
      </c>
      <c r="T69">
        <v>2067</v>
      </c>
      <c r="U69">
        <v>771</v>
      </c>
      <c r="V69">
        <v>53</v>
      </c>
      <c r="W69">
        <v>731</v>
      </c>
      <c r="X69">
        <v>1549</v>
      </c>
      <c r="Y69">
        <v>2075</v>
      </c>
      <c r="Z69">
        <v>470</v>
      </c>
      <c r="AA69">
        <v>1646</v>
      </c>
      <c r="AB69">
        <v>1566</v>
      </c>
      <c r="AC69">
        <v>2142</v>
      </c>
      <c r="AD69">
        <v>2611</v>
      </c>
      <c r="AE69">
        <v>3389</v>
      </c>
      <c r="AF69">
        <v>586</v>
      </c>
      <c r="AG69">
        <v>271</v>
      </c>
      <c r="AH69">
        <v>3657</v>
      </c>
      <c r="AI69">
        <v>1524</v>
      </c>
    </row>
    <row r="70" spans="1:35" x14ac:dyDescent="0.3">
      <c r="A70" s="3">
        <v>184</v>
      </c>
      <c r="B70">
        <v>2755</v>
      </c>
      <c r="C70">
        <v>1911</v>
      </c>
      <c r="D70">
        <v>2948</v>
      </c>
      <c r="E70">
        <v>6045</v>
      </c>
      <c r="F70">
        <v>170</v>
      </c>
      <c r="G70">
        <v>961</v>
      </c>
      <c r="H70">
        <v>2518</v>
      </c>
      <c r="I70">
        <v>822</v>
      </c>
      <c r="J70">
        <v>2057</v>
      </c>
      <c r="K70">
        <v>1348</v>
      </c>
      <c r="L70">
        <v>1639</v>
      </c>
      <c r="M70">
        <v>2130</v>
      </c>
      <c r="N70">
        <v>2260</v>
      </c>
      <c r="O70">
        <v>498</v>
      </c>
      <c r="P70">
        <v>1322</v>
      </c>
      <c r="Q70">
        <v>2446</v>
      </c>
      <c r="R70">
        <v>1670</v>
      </c>
      <c r="S70">
        <v>1544</v>
      </c>
      <c r="T70">
        <v>2256</v>
      </c>
      <c r="U70">
        <v>27</v>
      </c>
      <c r="V70">
        <v>1266</v>
      </c>
      <c r="W70">
        <v>1962</v>
      </c>
      <c r="X70">
        <v>437</v>
      </c>
      <c r="Y70">
        <v>2617</v>
      </c>
      <c r="Z70">
        <v>76</v>
      </c>
      <c r="AA70">
        <v>1543</v>
      </c>
      <c r="AB70">
        <v>801</v>
      </c>
      <c r="AC70">
        <v>3050</v>
      </c>
      <c r="AD70">
        <v>2817</v>
      </c>
      <c r="AE70">
        <v>1575</v>
      </c>
      <c r="AF70">
        <v>682</v>
      </c>
      <c r="AG70">
        <v>1208</v>
      </c>
      <c r="AH70">
        <v>1954</v>
      </c>
      <c r="AI70">
        <v>2609</v>
      </c>
    </row>
    <row r="71" spans="1:35" x14ac:dyDescent="0.3">
      <c r="A71" s="3">
        <v>185</v>
      </c>
      <c r="B71">
        <v>987</v>
      </c>
      <c r="C71">
        <v>3438</v>
      </c>
      <c r="D71">
        <v>2833</v>
      </c>
      <c r="E71">
        <v>390</v>
      </c>
      <c r="F71">
        <v>729</v>
      </c>
      <c r="G71">
        <v>733</v>
      </c>
      <c r="H71">
        <v>711</v>
      </c>
      <c r="I71">
        <v>764</v>
      </c>
      <c r="J71">
        <v>2292</v>
      </c>
      <c r="K71">
        <v>1148</v>
      </c>
      <c r="L71">
        <v>213</v>
      </c>
      <c r="M71">
        <v>4268</v>
      </c>
      <c r="N71">
        <v>1936</v>
      </c>
      <c r="O71">
        <v>47</v>
      </c>
      <c r="P71">
        <v>357</v>
      </c>
      <c r="Q71">
        <v>2719</v>
      </c>
      <c r="R71">
        <v>2124</v>
      </c>
      <c r="S71">
        <v>1516</v>
      </c>
      <c r="T71">
        <v>1917</v>
      </c>
      <c r="U71">
        <v>959</v>
      </c>
      <c r="V71">
        <v>2130</v>
      </c>
      <c r="W71">
        <v>2468</v>
      </c>
      <c r="X71">
        <v>3026</v>
      </c>
      <c r="Y71">
        <v>3967</v>
      </c>
      <c r="Z71">
        <v>245</v>
      </c>
      <c r="AA71">
        <v>6851</v>
      </c>
      <c r="AB71">
        <v>470</v>
      </c>
      <c r="AC71">
        <v>2584</v>
      </c>
      <c r="AD71">
        <v>2132</v>
      </c>
      <c r="AE71">
        <v>64</v>
      </c>
      <c r="AF71">
        <v>1272</v>
      </c>
      <c r="AG71">
        <v>2241</v>
      </c>
      <c r="AH71">
        <v>1687</v>
      </c>
      <c r="AI71">
        <v>2783</v>
      </c>
    </row>
    <row r="72" spans="1:35" x14ac:dyDescent="0.3">
      <c r="A72" s="3">
        <v>186</v>
      </c>
      <c r="B72">
        <v>94</v>
      </c>
      <c r="C72">
        <v>1374</v>
      </c>
      <c r="D72">
        <v>70</v>
      </c>
      <c r="E72">
        <v>132</v>
      </c>
      <c r="F72">
        <v>358</v>
      </c>
      <c r="G72">
        <v>624</v>
      </c>
      <c r="H72">
        <v>4638</v>
      </c>
      <c r="I72">
        <v>1178</v>
      </c>
      <c r="J72">
        <v>861</v>
      </c>
      <c r="K72">
        <v>1503</v>
      </c>
      <c r="L72">
        <v>26</v>
      </c>
      <c r="M72">
        <v>2016</v>
      </c>
      <c r="N72">
        <v>783</v>
      </c>
      <c r="O72">
        <v>302</v>
      </c>
      <c r="P72">
        <v>868</v>
      </c>
      <c r="Q72">
        <v>2436</v>
      </c>
      <c r="R72">
        <v>768</v>
      </c>
      <c r="S72">
        <v>396</v>
      </c>
      <c r="T72">
        <v>422</v>
      </c>
      <c r="U72">
        <v>844</v>
      </c>
      <c r="V72">
        <v>2173</v>
      </c>
      <c r="W72">
        <v>2828</v>
      </c>
      <c r="X72">
        <v>1856</v>
      </c>
      <c r="Y72">
        <v>77</v>
      </c>
      <c r="Z72">
        <v>1379</v>
      </c>
      <c r="AA72">
        <v>2436</v>
      </c>
      <c r="AB72">
        <v>6362</v>
      </c>
      <c r="AC72">
        <v>4133</v>
      </c>
      <c r="AD72">
        <v>1917</v>
      </c>
      <c r="AE72">
        <v>258</v>
      </c>
      <c r="AF72">
        <v>73</v>
      </c>
      <c r="AG72">
        <v>1754</v>
      </c>
      <c r="AH72">
        <v>1560</v>
      </c>
      <c r="AI72">
        <v>4445</v>
      </c>
    </row>
    <row r="73" spans="1:35" x14ac:dyDescent="0.3">
      <c r="A73" s="3">
        <v>187</v>
      </c>
      <c r="B73">
        <v>253</v>
      </c>
      <c r="C73">
        <v>76</v>
      </c>
      <c r="D73">
        <v>10</v>
      </c>
      <c r="E73">
        <v>1171</v>
      </c>
      <c r="F73">
        <v>451</v>
      </c>
      <c r="G73">
        <v>1929</v>
      </c>
      <c r="H73">
        <v>645</v>
      </c>
      <c r="I73">
        <v>791</v>
      </c>
      <c r="J73">
        <v>1821</v>
      </c>
      <c r="K73">
        <v>455</v>
      </c>
      <c r="L73">
        <v>3715</v>
      </c>
      <c r="M73">
        <v>719</v>
      </c>
      <c r="N73">
        <v>1</v>
      </c>
      <c r="O73">
        <v>1379</v>
      </c>
      <c r="P73">
        <v>1877</v>
      </c>
      <c r="Q73">
        <v>5246</v>
      </c>
      <c r="R73">
        <v>905</v>
      </c>
      <c r="S73">
        <v>1251</v>
      </c>
      <c r="T73">
        <v>753</v>
      </c>
      <c r="U73">
        <v>1210</v>
      </c>
      <c r="V73">
        <v>1032</v>
      </c>
      <c r="W73">
        <v>704</v>
      </c>
      <c r="X73">
        <v>1957</v>
      </c>
      <c r="Y73">
        <v>394</v>
      </c>
      <c r="Z73">
        <v>1178</v>
      </c>
      <c r="AA73">
        <v>4524</v>
      </c>
      <c r="AB73">
        <v>636</v>
      </c>
      <c r="AC73">
        <v>4155</v>
      </c>
      <c r="AD73">
        <v>2139</v>
      </c>
      <c r="AE73">
        <v>211</v>
      </c>
      <c r="AF73">
        <v>99</v>
      </c>
      <c r="AG73">
        <v>1015</v>
      </c>
      <c r="AH73">
        <v>45</v>
      </c>
      <c r="AI73">
        <v>3401</v>
      </c>
    </row>
    <row r="74" spans="1:35" x14ac:dyDescent="0.3">
      <c r="A74" s="3">
        <v>188</v>
      </c>
      <c r="B74">
        <v>490</v>
      </c>
      <c r="C74">
        <v>1684</v>
      </c>
      <c r="D74">
        <v>996</v>
      </c>
      <c r="E74">
        <v>1334</v>
      </c>
      <c r="F74">
        <v>364</v>
      </c>
      <c r="G74">
        <v>964</v>
      </c>
      <c r="H74">
        <v>1017</v>
      </c>
      <c r="I74">
        <v>1543</v>
      </c>
      <c r="J74">
        <v>1521</v>
      </c>
      <c r="K74">
        <v>1368</v>
      </c>
      <c r="L74">
        <v>2495</v>
      </c>
      <c r="M74">
        <v>2284</v>
      </c>
      <c r="N74">
        <v>456</v>
      </c>
      <c r="O74">
        <v>648</v>
      </c>
      <c r="P74">
        <v>7643</v>
      </c>
      <c r="Q74">
        <v>4917</v>
      </c>
      <c r="R74">
        <v>514</v>
      </c>
      <c r="S74">
        <v>2792</v>
      </c>
      <c r="T74">
        <v>3048</v>
      </c>
      <c r="U74">
        <v>1313</v>
      </c>
      <c r="V74">
        <v>411</v>
      </c>
      <c r="W74">
        <v>1180</v>
      </c>
      <c r="X74">
        <v>1474</v>
      </c>
      <c r="Y74">
        <v>218</v>
      </c>
      <c r="Z74">
        <v>3300</v>
      </c>
      <c r="AA74">
        <v>864</v>
      </c>
      <c r="AB74">
        <v>1723</v>
      </c>
      <c r="AC74">
        <v>648</v>
      </c>
      <c r="AD74">
        <v>1853</v>
      </c>
      <c r="AE74">
        <v>1356</v>
      </c>
      <c r="AF74">
        <v>7</v>
      </c>
      <c r="AG74">
        <v>2063</v>
      </c>
      <c r="AH74">
        <v>1962</v>
      </c>
      <c r="AI74">
        <v>1317</v>
      </c>
    </row>
    <row r="75" spans="1:35" x14ac:dyDescent="0.3">
      <c r="A75" s="3">
        <v>189</v>
      </c>
      <c r="B75">
        <v>3679</v>
      </c>
      <c r="C75">
        <v>930</v>
      </c>
      <c r="D75">
        <v>709</v>
      </c>
      <c r="E75">
        <v>833</v>
      </c>
      <c r="F75">
        <v>3178</v>
      </c>
      <c r="G75">
        <v>2382</v>
      </c>
      <c r="H75">
        <v>656</v>
      </c>
      <c r="I75">
        <v>598</v>
      </c>
      <c r="J75">
        <v>2323</v>
      </c>
      <c r="K75">
        <v>291</v>
      </c>
      <c r="L75">
        <v>2060</v>
      </c>
      <c r="M75">
        <v>131</v>
      </c>
      <c r="N75">
        <v>197</v>
      </c>
      <c r="O75">
        <v>1464</v>
      </c>
      <c r="P75">
        <v>2757</v>
      </c>
      <c r="Q75">
        <v>1004</v>
      </c>
      <c r="R75">
        <v>1066</v>
      </c>
      <c r="S75">
        <v>1632</v>
      </c>
      <c r="T75">
        <v>1706</v>
      </c>
      <c r="U75">
        <v>841</v>
      </c>
      <c r="V75">
        <v>700</v>
      </c>
      <c r="W75">
        <v>5</v>
      </c>
      <c r="X75">
        <v>990</v>
      </c>
      <c r="Y75">
        <v>5347</v>
      </c>
      <c r="Z75">
        <v>1727</v>
      </c>
      <c r="AA75">
        <v>439</v>
      </c>
      <c r="AB75">
        <v>4379</v>
      </c>
      <c r="AC75">
        <v>3282</v>
      </c>
      <c r="AD75">
        <v>3351</v>
      </c>
      <c r="AE75">
        <v>516</v>
      </c>
      <c r="AF75">
        <v>1</v>
      </c>
      <c r="AG75">
        <v>1766</v>
      </c>
      <c r="AH75">
        <v>1085</v>
      </c>
      <c r="AI75">
        <v>4294</v>
      </c>
    </row>
    <row r="76" spans="1:35" x14ac:dyDescent="0.3">
      <c r="A76" s="3">
        <v>190</v>
      </c>
      <c r="B76">
        <v>281</v>
      </c>
      <c r="C76">
        <v>3613</v>
      </c>
      <c r="D76">
        <v>2109</v>
      </c>
      <c r="E76">
        <v>5578</v>
      </c>
      <c r="F76">
        <v>1458</v>
      </c>
      <c r="G76">
        <v>1561</v>
      </c>
      <c r="H76">
        <v>164</v>
      </c>
      <c r="I76">
        <v>1707</v>
      </c>
      <c r="J76">
        <v>408</v>
      </c>
      <c r="K76">
        <v>58</v>
      </c>
      <c r="L76">
        <v>1830</v>
      </c>
      <c r="M76">
        <v>511</v>
      </c>
      <c r="N76">
        <v>1710</v>
      </c>
      <c r="O76">
        <v>807</v>
      </c>
      <c r="P76">
        <v>1583</v>
      </c>
      <c r="Q76">
        <v>34</v>
      </c>
      <c r="R76">
        <v>1197</v>
      </c>
      <c r="S76">
        <v>4175</v>
      </c>
      <c r="T76">
        <v>2758</v>
      </c>
      <c r="U76">
        <v>1987</v>
      </c>
      <c r="V76">
        <v>294</v>
      </c>
      <c r="W76">
        <v>1324</v>
      </c>
      <c r="X76">
        <v>1012</v>
      </c>
      <c r="Y76">
        <v>2921</v>
      </c>
      <c r="Z76">
        <v>882</v>
      </c>
      <c r="AA76">
        <v>332</v>
      </c>
      <c r="AB76">
        <v>1735</v>
      </c>
      <c r="AC76">
        <v>1772</v>
      </c>
      <c r="AD76">
        <v>1320</v>
      </c>
      <c r="AE76">
        <v>1512</v>
      </c>
      <c r="AF76">
        <v>233</v>
      </c>
      <c r="AG76">
        <v>430</v>
      </c>
      <c r="AH76">
        <v>3713</v>
      </c>
      <c r="AI76">
        <v>7707</v>
      </c>
    </row>
    <row r="77" spans="1:35" x14ac:dyDescent="0.3">
      <c r="A77" s="3">
        <v>191</v>
      </c>
      <c r="B77">
        <v>20</v>
      </c>
      <c r="C77">
        <v>4184</v>
      </c>
      <c r="D77">
        <v>1482</v>
      </c>
      <c r="E77">
        <v>3682</v>
      </c>
      <c r="F77">
        <v>562</v>
      </c>
      <c r="G77">
        <v>861</v>
      </c>
      <c r="H77">
        <v>1613</v>
      </c>
      <c r="I77">
        <v>327</v>
      </c>
      <c r="J77">
        <v>4559</v>
      </c>
      <c r="K77">
        <v>552</v>
      </c>
      <c r="L77">
        <v>614</v>
      </c>
      <c r="M77">
        <v>2556</v>
      </c>
      <c r="N77">
        <v>1028</v>
      </c>
      <c r="O77">
        <v>307</v>
      </c>
      <c r="P77">
        <v>58</v>
      </c>
      <c r="Q77">
        <v>248</v>
      </c>
      <c r="R77">
        <v>337</v>
      </c>
      <c r="S77">
        <v>450</v>
      </c>
      <c r="T77">
        <v>1223</v>
      </c>
      <c r="U77">
        <v>421</v>
      </c>
      <c r="V77">
        <v>568</v>
      </c>
      <c r="W77">
        <v>6550</v>
      </c>
      <c r="X77">
        <v>1140</v>
      </c>
      <c r="Y77">
        <v>4001</v>
      </c>
      <c r="Z77">
        <v>971</v>
      </c>
      <c r="AA77">
        <v>305</v>
      </c>
      <c r="AB77">
        <v>1336</v>
      </c>
      <c r="AC77">
        <v>1609</v>
      </c>
      <c r="AD77">
        <v>1303</v>
      </c>
      <c r="AE77">
        <v>4042</v>
      </c>
      <c r="AF77">
        <v>4225</v>
      </c>
      <c r="AG77">
        <v>305</v>
      </c>
      <c r="AH77">
        <v>1360</v>
      </c>
      <c r="AI77">
        <v>1487</v>
      </c>
    </row>
    <row r="78" spans="1:35" x14ac:dyDescent="0.3">
      <c r="A78" s="3">
        <v>192</v>
      </c>
      <c r="B78">
        <v>1329</v>
      </c>
      <c r="C78">
        <v>2423</v>
      </c>
      <c r="D78">
        <v>216</v>
      </c>
      <c r="E78">
        <v>2755</v>
      </c>
      <c r="F78">
        <v>633</v>
      </c>
      <c r="G78">
        <v>1984</v>
      </c>
      <c r="H78">
        <v>2720</v>
      </c>
      <c r="I78">
        <v>70</v>
      </c>
      <c r="J78">
        <v>1534</v>
      </c>
      <c r="K78">
        <v>1053</v>
      </c>
      <c r="L78">
        <v>1392</v>
      </c>
      <c r="M78">
        <v>282</v>
      </c>
      <c r="N78">
        <v>2185</v>
      </c>
      <c r="O78">
        <v>138</v>
      </c>
      <c r="P78">
        <v>2747</v>
      </c>
      <c r="Q78">
        <v>1701</v>
      </c>
      <c r="R78">
        <v>555</v>
      </c>
      <c r="S78">
        <v>2005</v>
      </c>
      <c r="T78">
        <v>190</v>
      </c>
      <c r="U78">
        <v>1570</v>
      </c>
      <c r="V78">
        <v>257</v>
      </c>
      <c r="W78">
        <v>2791</v>
      </c>
      <c r="X78">
        <v>932</v>
      </c>
      <c r="Y78">
        <v>3293</v>
      </c>
      <c r="Z78">
        <v>1304</v>
      </c>
      <c r="AA78">
        <v>1081</v>
      </c>
      <c r="AB78">
        <v>3522</v>
      </c>
      <c r="AC78">
        <v>2708</v>
      </c>
      <c r="AD78">
        <v>1446</v>
      </c>
      <c r="AE78">
        <v>913</v>
      </c>
      <c r="AF78">
        <v>1384</v>
      </c>
      <c r="AG78">
        <v>1680</v>
      </c>
      <c r="AH78">
        <v>1956</v>
      </c>
      <c r="AI78">
        <v>3211</v>
      </c>
    </row>
    <row r="79" spans="1:35" x14ac:dyDescent="0.3">
      <c r="A79" s="3">
        <v>193</v>
      </c>
      <c r="B79">
        <v>1683</v>
      </c>
      <c r="C79">
        <v>1499</v>
      </c>
      <c r="D79">
        <v>222</v>
      </c>
      <c r="E79">
        <v>1233</v>
      </c>
      <c r="F79">
        <v>602</v>
      </c>
      <c r="G79">
        <v>2608</v>
      </c>
      <c r="H79">
        <v>3422</v>
      </c>
      <c r="I79">
        <v>854</v>
      </c>
      <c r="J79">
        <v>1172</v>
      </c>
      <c r="K79">
        <v>2385</v>
      </c>
      <c r="L79">
        <v>2217</v>
      </c>
      <c r="M79">
        <v>62</v>
      </c>
      <c r="N79">
        <v>103</v>
      </c>
      <c r="O79">
        <v>44</v>
      </c>
      <c r="P79">
        <v>723</v>
      </c>
      <c r="Q79">
        <v>431</v>
      </c>
      <c r="R79">
        <v>802</v>
      </c>
      <c r="S79">
        <v>1875</v>
      </c>
      <c r="T79">
        <v>2025</v>
      </c>
      <c r="U79">
        <v>438</v>
      </c>
      <c r="V79">
        <v>272</v>
      </c>
      <c r="W79">
        <v>5742</v>
      </c>
      <c r="X79">
        <v>787</v>
      </c>
      <c r="Y79">
        <v>2178</v>
      </c>
      <c r="Z79">
        <v>1452</v>
      </c>
      <c r="AA79">
        <v>2720</v>
      </c>
      <c r="AB79">
        <v>1567</v>
      </c>
      <c r="AC79">
        <v>5650</v>
      </c>
      <c r="AD79">
        <v>1670</v>
      </c>
      <c r="AE79">
        <v>350</v>
      </c>
      <c r="AF79">
        <v>702</v>
      </c>
      <c r="AG79">
        <v>865</v>
      </c>
      <c r="AH79">
        <v>2062</v>
      </c>
      <c r="AI79">
        <v>2519</v>
      </c>
    </row>
    <row r="80" spans="1:35" x14ac:dyDescent="0.3">
      <c r="A80" s="3">
        <v>194</v>
      </c>
      <c r="B80">
        <v>1021</v>
      </c>
      <c r="C80">
        <v>1190</v>
      </c>
      <c r="D80">
        <v>839</v>
      </c>
      <c r="E80">
        <v>2907</v>
      </c>
      <c r="F80">
        <v>2045</v>
      </c>
      <c r="G80">
        <v>287</v>
      </c>
      <c r="H80">
        <v>1307</v>
      </c>
      <c r="I80">
        <v>927</v>
      </c>
      <c r="J80">
        <v>418</v>
      </c>
      <c r="K80">
        <v>971</v>
      </c>
      <c r="L80">
        <v>3856</v>
      </c>
      <c r="M80">
        <v>1356</v>
      </c>
      <c r="N80">
        <v>754</v>
      </c>
      <c r="O80">
        <v>936</v>
      </c>
      <c r="P80">
        <v>5533</v>
      </c>
      <c r="Q80">
        <v>1187</v>
      </c>
      <c r="R80">
        <v>1732</v>
      </c>
      <c r="S80">
        <v>159</v>
      </c>
      <c r="T80">
        <v>1734</v>
      </c>
      <c r="U80">
        <v>1990</v>
      </c>
      <c r="V80">
        <v>1417</v>
      </c>
      <c r="W80">
        <v>2611</v>
      </c>
      <c r="X80">
        <v>643</v>
      </c>
      <c r="Y80">
        <v>931</v>
      </c>
      <c r="Z80">
        <v>1715</v>
      </c>
      <c r="AA80">
        <v>4582</v>
      </c>
      <c r="AB80">
        <v>2498</v>
      </c>
      <c r="AC80">
        <v>2907</v>
      </c>
      <c r="AD80">
        <v>1310</v>
      </c>
      <c r="AE80">
        <v>1027</v>
      </c>
      <c r="AF80">
        <v>373</v>
      </c>
      <c r="AG80">
        <v>1121</v>
      </c>
      <c r="AH80">
        <v>2074</v>
      </c>
      <c r="AI80">
        <v>1125</v>
      </c>
    </row>
    <row r="81" spans="1:35" x14ac:dyDescent="0.3">
      <c r="A81" s="3">
        <v>195</v>
      </c>
      <c r="B81">
        <v>4210</v>
      </c>
      <c r="C81">
        <v>548</v>
      </c>
      <c r="D81">
        <v>560</v>
      </c>
      <c r="E81">
        <v>1979</v>
      </c>
      <c r="F81">
        <v>1552</v>
      </c>
      <c r="G81">
        <v>931</v>
      </c>
      <c r="H81">
        <v>1468</v>
      </c>
      <c r="I81">
        <v>477</v>
      </c>
      <c r="J81">
        <v>314</v>
      </c>
      <c r="K81">
        <v>167</v>
      </c>
      <c r="L81">
        <v>3646</v>
      </c>
      <c r="M81">
        <v>1202</v>
      </c>
      <c r="N81">
        <v>205</v>
      </c>
      <c r="O81">
        <v>3217</v>
      </c>
      <c r="P81">
        <v>2378</v>
      </c>
      <c r="Q81">
        <v>1605</v>
      </c>
      <c r="R81">
        <v>305</v>
      </c>
      <c r="S81">
        <v>318</v>
      </c>
      <c r="T81">
        <v>4660</v>
      </c>
      <c r="U81">
        <v>3305</v>
      </c>
      <c r="V81">
        <v>26</v>
      </c>
      <c r="W81">
        <v>2313</v>
      </c>
      <c r="X81">
        <v>742</v>
      </c>
      <c r="Y81">
        <v>2512</v>
      </c>
      <c r="Z81">
        <v>937</v>
      </c>
      <c r="AA81">
        <v>5101</v>
      </c>
      <c r="AB81">
        <v>2033</v>
      </c>
      <c r="AC81">
        <v>3416</v>
      </c>
      <c r="AD81">
        <v>234</v>
      </c>
      <c r="AE81">
        <v>1429</v>
      </c>
      <c r="AF81">
        <v>254</v>
      </c>
      <c r="AG81">
        <v>1429</v>
      </c>
      <c r="AH81">
        <v>500</v>
      </c>
      <c r="AI81">
        <v>750</v>
      </c>
    </row>
    <row r="82" spans="1:35" x14ac:dyDescent="0.3">
      <c r="A82" s="3">
        <v>196</v>
      </c>
      <c r="B82">
        <v>255</v>
      </c>
      <c r="C82">
        <v>94</v>
      </c>
      <c r="D82">
        <v>3556</v>
      </c>
      <c r="E82">
        <v>2595</v>
      </c>
      <c r="F82">
        <v>1635</v>
      </c>
      <c r="G82">
        <v>842</v>
      </c>
      <c r="H82">
        <v>1806</v>
      </c>
      <c r="I82">
        <v>661</v>
      </c>
      <c r="J82">
        <v>727</v>
      </c>
      <c r="K82">
        <v>349</v>
      </c>
      <c r="L82">
        <v>631</v>
      </c>
      <c r="M82">
        <v>1369</v>
      </c>
      <c r="N82">
        <v>404</v>
      </c>
      <c r="O82">
        <v>2134</v>
      </c>
      <c r="P82">
        <v>528</v>
      </c>
      <c r="Q82">
        <v>1148</v>
      </c>
      <c r="R82">
        <v>49</v>
      </c>
      <c r="S82">
        <v>275</v>
      </c>
      <c r="T82">
        <v>1756</v>
      </c>
      <c r="U82">
        <v>1824</v>
      </c>
      <c r="V82">
        <v>1131</v>
      </c>
      <c r="W82">
        <v>176</v>
      </c>
      <c r="X82">
        <v>255</v>
      </c>
      <c r="Y82">
        <v>816</v>
      </c>
      <c r="Z82">
        <v>679</v>
      </c>
      <c r="AA82">
        <v>3404</v>
      </c>
      <c r="AB82">
        <v>1138</v>
      </c>
      <c r="AC82">
        <v>2322</v>
      </c>
      <c r="AD82">
        <v>974</v>
      </c>
      <c r="AE82">
        <v>784</v>
      </c>
      <c r="AF82">
        <v>2212</v>
      </c>
      <c r="AG82">
        <v>877</v>
      </c>
      <c r="AH82">
        <v>1733</v>
      </c>
      <c r="AI82">
        <v>861</v>
      </c>
    </row>
    <row r="83" spans="1:35" x14ac:dyDescent="0.3">
      <c r="A83" s="3">
        <v>197</v>
      </c>
      <c r="B83">
        <v>72</v>
      </c>
      <c r="C83">
        <v>601</v>
      </c>
      <c r="D83">
        <v>4923</v>
      </c>
      <c r="E83">
        <v>1562</v>
      </c>
      <c r="F83">
        <v>1332</v>
      </c>
      <c r="G83">
        <v>814</v>
      </c>
      <c r="H83">
        <v>731</v>
      </c>
      <c r="I83">
        <v>241</v>
      </c>
      <c r="J83">
        <v>1131</v>
      </c>
      <c r="K83">
        <v>785</v>
      </c>
      <c r="L83">
        <v>1935</v>
      </c>
      <c r="M83">
        <v>2425</v>
      </c>
      <c r="N83">
        <v>403</v>
      </c>
      <c r="O83">
        <v>2716</v>
      </c>
      <c r="P83">
        <v>5315</v>
      </c>
      <c r="Q83">
        <v>239</v>
      </c>
      <c r="R83">
        <v>2629</v>
      </c>
      <c r="S83">
        <v>969</v>
      </c>
      <c r="T83">
        <v>1972</v>
      </c>
      <c r="U83">
        <v>1255</v>
      </c>
      <c r="V83">
        <v>1782</v>
      </c>
      <c r="W83">
        <v>125</v>
      </c>
      <c r="X83">
        <v>970</v>
      </c>
      <c r="Y83">
        <v>3722</v>
      </c>
      <c r="Z83">
        <v>77</v>
      </c>
      <c r="AA83">
        <v>1636</v>
      </c>
      <c r="AB83">
        <v>1990</v>
      </c>
      <c r="AC83">
        <v>1255</v>
      </c>
      <c r="AD83">
        <v>47</v>
      </c>
      <c r="AE83">
        <v>2546</v>
      </c>
      <c r="AF83">
        <v>1531</v>
      </c>
      <c r="AG83">
        <v>4905</v>
      </c>
      <c r="AH83">
        <v>2026</v>
      </c>
      <c r="AI83">
        <v>5522</v>
      </c>
    </row>
    <row r="84" spans="1:35" x14ac:dyDescent="0.3">
      <c r="A84" s="3">
        <v>198</v>
      </c>
      <c r="B84">
        <v>175</v>
      </c>
      <c r="C84">
        <v>472</v>
      </c>
      <c r="D84">
        <v>1751</v>
      </c>
      <c r="E84">
        <v>2638</v>
      </c>
      <c r="F84">
        <v>1028</v>
      </c>
      <c r="G84">
        <v>146</v>
      </c>
      <c r="H84">
        <v>461</v>
      </c>
      <c r="I84">
        <v>1069</v>
      </c>
      <c r="J84">
        <v>1053</v>
      </c>
      <c r="K84">
        <v>595</v>
      </c>
      <c r="L84">
        <v>606</v>
      </c>
      <c r="M84">
        <v>729</v>
      </c>
      <c r="N84">
        <v>25</v>
      </c>
      <c r="O84">
        <v>2610</v>
      </c>
      <c r="P84">
        <v>112</v>
      </c>
      <c r="Q84">
        <v>1255</v>
      </c>
      <c r="R84">
        <v>1583</v>
      </c>
      <c r="S84">
        <v>450</v>
      </c>
      <c r="T84">
        <v>273</v>
      </c>
      <c r="U84">
        <v>623</v>
      </c>
      <c r="V84">
        <v>139</v>
      </c>
      <c r="W84">
        <v>688</v>
      </c>
      <c r="X84">
        <v>2013</v>
      </c>
      <c r="Y84">
        <v>2357</v>
      </c>
      <c r="Z84">
        <v>552</v>
      </c>
      <c r="AA84">
        <v>1915</v>
      </c>
      <c r="AB84">
        <v>3347</v>
      </c>
      <c r="AC84">
        <v>5061</v>
      </c>
      <c r="AD84">
        <v>1386</v>
      </c>
      <c r="AE84">
        <v>2207</v>
      </c>
      <c r="AF84">
        <v>197</v>
      </c>
      <c r="AG84">
        <v>1550</v>
      </c>
      <c r="AH84">
        <v>618</v>
      </c>
      <c r="AI84">
        <v>3153</v>
      </c>
    </row>
    <row r="85" spans="1:35" x14ac:dyDescent="0.3">
      <c r="A85" s="3">
        <v>199</v>
      </c>
      <c r="B85">
        <v>190</v>
      </c>
      <c r="C85">
        <v>937</v>
      </c>
      <c r="D85">
        <v>940</v>
      </c>
      <c r="E85">
        <v>1481</v>
      </c>
      <c r="F85">
        <v>2819</v>
      </c>
      <c r="G85">
        <v>221</v>
      </c>
      <c r="H85">
        <v>2828</v>
      </c>
      <c r="I85">
        <v>1166</v>
      </c>
      <c r="J85">
        <v>1913</v>
      </c>
      <c r="K85">
        <v>1488</v>
      </c>
      <c r="L85">
        <v>2216</v>
      </c>
      <c r="M85">
        <v>183</v>
      </c>
      <c r="N85">
        <v>1353</v>
      </c>
      <c r="O85">
        <v>984</v>
      </c>
      <c r="P85">
        <v>2524</v>
      </c>
      <c r="Q85">
        <v>2099</v>
      </c>
      <c r="R85">
        <v>1001</v>
      </c>
      <c r="S85">
        <v>668</v>
      </c>
      <c r="T85">
        <v>2065</v>
      </c>
      <c r="U85">
        <v>1301</v>
      </c>
      <c r="V85">
        <v>143</v>
      </c>
      <c r="W85">
        <v>4395</v>
      </c>
      <c r="X85">
        <v>35</v>
      </c>
      <c r="Y85">
        <v>1667</v>
      </c>
      <c r="Z85">
        <v>819</v>
      </c>
      <c r="AA85">
        <v>663</v>
      </c>
      <c r="AB85">
        <v>6097</v>
      </c>
      <c r="AC85">
        <v>794</v>
      </c>
      <c r="AD85">
        <v>3977</v>
      </c>
      <c r="AE85">
        <v>1277</v>
      </c>
      <c r="AF85">
        <v>175</v>
      </c>
      <c r="AG85">
        <v>2798</v>
      </c>
      <c r="AH85">
        <v>244</v>
      </c>
      <c r="AI85">
        <v>2332</v>
      </c>
    </row>
    <row r="86" spans="1:35" x14ac:dyDescent="0.3">
      <c r="A86" s="3">
        <v>200</v>
      </c>
      <c r="B86">
        <v>519</v>
      </c>
      <c r="C86">
        <v>1156</v>
      </c>
      <c r="D86">
        <v>1398</v>
      </c>
      <c r="E86">
        <v>1894</v>
      </c>
      <c r="F86">
        <v>12856</v>
      </c>
      <c r="G86">
        <v>1627</v>
      </c>
      <c r="H86">
        <v>2208</v>
      </c>
      <c r="I86">
        <v>339</v>
      </c>
      <c r="J86">
        <v>3262</v>
      </c>
      <c r="K86">
        <v>831</v>
      </c>
      <c r="L86">
        <v>561</v>
      </c>
      <c r="M86">
        <v>3689</v>
      </c>
      <c r="N86">
        <v>776</v>
      </c>
      <c r="O86">
        <v>2432</v>
      </c>
      <c r="P86">
        <v>0</v>
      </c>
      <c r="Q86">
        <v>2203</v>
      </c>
      <c r="R86">
        <v>1173</v>
      </c>
      <c r="S86">
        <v>2549</v>
      </c>
      <c r="T86">
        <v>2199</v>
      </c>
      <c r="U86">
        <v>1141</v>
      </c>
      <c r="V86">
        <v>1455</v>
      </c>
      <c r="W86">
        <v>1499</v>
      </c>
      <c r="X86">
        <v>465</v>
      </c>
      <c r="Y86">
        <v>5826</v>
      </c>
      <c r="Z86">
        <v>975</v>
      </c>
      <c r="AA86">
        <v>1154</v>
      </c>
      <c r="AB86">
        <v>2311</v>
      </c>
      <c r="AC86">
        <v>2522</v>
      </c>
      <c r="AD86">
        <v>2219</v>
      </c>
      <c r="AE86">
        <v>1829</v>
      </c>
      <c r="AF86">
        <v>477</v>
      </c>
      <c r="AG86">
        <v>2503</v>
      </c>
      <c r="AH86">
        <v>3557</v>
      </c>
      <c r="AI86">
        <v>5211</v>
      </c>
    </row>
    <row r="87" spans="1:35" x14ac:dyDescent="0.3">
      <c r="A87" s="3">
        <v>201</v>
      </c>
      <c r="B87">
        <v>1714</v>
      </c>
      <c r="C87">
        <v>1017</v>
      </c>
      <c r="D87">
        <v>3513</v>
      </c>
      <c r="E87">
        <v>911</v>
      </c>
      <c r="F87">
        <v>877</v>
      </c>
      <c r="G87">
        <v>966</v>
      </c>
      <c r="H87">
        <v>3174</v>
      </c>
      <c r="I87">
        <v>1650</v>
      </c>
      <c r="J87">
        <v>443</v>
      </c>
      <c r="K87">
        <v>638</v>
      </c>
      <c r="L87">
        <v>308</v>
      </c>
      <c r="M87">
        <v>3887</v>
      </c>
      <c r="N87">
        <v>260</v>
      </c>
      <c r="O87">
        <v>2365</v>
      </c>
      <c r="P87">
        <v>609</v>
      </c>
      <c r="Q87">
        <v>1492</v>
      </c>
      <c r="R87">
        <v>41</v>
      </c>
      <c r="S87">
        <v>627</v>
      </c>
      <c r="T87">
        <v>202</v>
      </c>
      <c r="U87">
        <v>443</v>
      </c>
      <c r="V87">
        <v>610</v>
      </c>
      <c r="W87">
        <v>1813</v>
      </c>
      <c r="X87">
        <v>4</v>
      </c>
      <c r="Y87">
        <v>2138</v>
      </c>
      <c r="Z87">
        <v>2906</v>
      </c>
      <c r="AA87">
        <v>2085</v>
      </c>
      <c r="AB87">
        <v>6429</v>
      </c>
      <c r="AC87">
        <v>3239</v>
      </c>
      <c r="AD87">
        <v>1474</v>
      </c>
      <c r="AE87">
        <v>734</v>
      </c>
      <c r="AF87">
        <v>352</v>
      </c>
      <c r="AG87">
        <v>21</v>
      </c>
      <c r="AH87">
        <v>177</v>
      </c>
      <c r="AI87">
        <v>4033</v>
      </c>
    </row>
    <row r="88" spans="1:35" x14ac:dyDescent="0.3">
      <c r="A88" s="3">
        <v>202</v>
      </c>
      <c r="B88">
        <v>717</v>
      </c>
      <c r="C88">
        <v>897</v>
      </c>
      <c r="D88">
        <v>2606</v>
      </c>
      <c r="E88">
        <v>2587</v>
      </c>
      <c r="F88">
        <v>4813</v>
      </c>
      <c r="G88">
        <v>1176</v>
      </c>
      <c r="H88">
        <v>487</v>
      </c>
      <c r="I88">
        <v>58</v>
      </c>
      <c r="J88">
        <v>344</v>
      </c>
      <c r="K88">
        <v>1125</v>
      </c>
      <c r="L88">
        <v>69</v>
      </c>
      <c r="M88">
        <v>311</v>
      </c>
      <c r="N88">
        <v>154</v>
      </c>
      <c r="O88">
        <v>1611</v>
      </c>
      <c r="P88">
        <v>172</v>
      </c>
      <c r="Q88">
        <v>1504</v>
      </c>
      <c r="R88">
        <v>1009</v>
      </c>
      <c r="S88">
        <v>700</v>
      </c>
      <c r="T88">
        <v>2496</v>
      </c>
      <c r="U88">
        <v>1855</v>
      </c>
      <c r="V88">
        <v>410</v>
      </c>
      <c r="W88">
        <v>744</v>
      </c>
      <c r="X88">
        <v>1604</v>
      </c>
      <c r="Y88">
        <v>2091</v>
      </c>
      <c r="Z88">
        <v>1184</v>
      </c>
      <c r="AA88">
        <v>2324</v>
      </c>
      <c r="AB88">
        <v>3083</v>
      </c>
      <c r="AC88">
        <v>3165</v>
      </c>
      <c r="AD88">
        <v>572</v>
      </c>
      <c r="AE88">
        <v>1416</v>
      </c>
      <c r="AF88">
        <v>2207</v>
      </c>
      <c r="AG88">
        <v>1360</v>
      </c>
      <c r="AH88">
        <v>1625</v>
      </c>
      <c r="AI88">
        <v>1406</v>
      </c>
    </row>
    <row r="89" spans="1:35" x14ac:dyDescent="0.3">
      <c r="A89" s="3">
        <v>203</v>
      </c>
      <c r="B89">
        <v>64</v>
      </c>
      <c r="C89">
        <v>110</v>
      </c>
      <c r="D89">
        <v>3713</v>
      </c>
      <c r="E89">
        <v>641</v>
      </c>
      <c r="F89">
        <v>3670</v>
      </c>
      <c r="G89">
        <v>1369</v>
      </c>
      <c r="H89">
        <v>1075</v>
      </c>
      <c r="I89">
        <v>869</v>
      </c>
      <c r="J89">
        <v>2402</v>
      </c>
      <c r="K89">
        <v>566</v>
      </c>
      <c r="L89">
        <v>1680</v>
      </c>
      <c r="M89">
        <v>1769</v>
      </c>
      <c r="N89">
        <v>235</v>
      </c>
      <c r="O89">
        <v>2117</v>
      </c>
      <c r="P89">
        <v>19</v>
      </c>
      <c r="Q89">
        <v>2469</v>
      </c>
      <c r="R89">
        <v>1918</v>
      </c>
      <c r="S89">
        <v>808</v>
      </c>
      <c r="T89">
        <v>2033</v>
      </c>
      <c r="U89">
        <v>1206</v>
      </c>
      <c r="V89">
        <v>2</v>
      </c>
      <c r="W89">
        <v>1881</v>
      </c>
      <c r="X89">
        <v>1159</v>
      </c>
      <c r="Y89">
        <v>1347</v>
      </c>
      <c r="Z89">
        <v>508</v>
      </c>
      <c r="AA89">
        <v>1654</v>
      </c>
      <c r="AB89">
        <v>1587</v>
      </c>
      <c r="AC89">
        <v>683</v>
      </c>
      <c r="AD89">
        <v>134</v>
      </c>
      <c r="AE89">
        <v>299</v>
      </c>
      <c r="AF89">
        <v>68</v>
      </c>
      <c r="AG89">
        <v>4979</v>
      </c>
      <c r="AH89">
        <v>934</v>
      </c>
      <c r="AI89">
        <v>2530</v>
      </c>
    </row>
    <row r="90" spans="1:35" x14ac:dyDescent="0.3">
      <c r="A90" s="3">
        <v>204</v>
      </c>
      <c r="B90">
        <v>0</v>
      </c>
      <c r="C90">
        <v>951</v>
      </c>
      <c r="D90">
        <v>619</v>
      </c>
      <c r="E90">
        <v>229</v>
      </c>
      <c r="F90">
        <v>558</v>
      </c>
      <c r="G90">
        <v>264</v>
      </c>
      <c r="H90">
        <v>1457</v>
      </c>
      <c r="I90">
        <v>225</v>
      </c>
      <c r="J90">
        <v>1222</v>
      </c>
      <c r="K90">
        <v>765</v>
      </c>
      <c r="L90">
        <v>208</v>
      </c>
      <c r="M90">
        <v>2493</v>
      </c>
      <c r="N90">
        <v>1335</v>
      </c>
      <c r="O90">
        <v>603</v>
      </c>
      <c r="P90">
        <v>821</v>
      </c>
      <c r="Q90">
        <v>3263</v>
      </c>
      <c r="R90">
        <v>274</v>
      </c>
      <c r="S90">
        <v>930</v>
      </c>
      <c r="T90">
        <v>3276</v>
      </c>
      <c r="U90">
        <v>4679</v>
      </c>
      <c r="V90">
        <v>80</v>
      </c>
      <c r="W90">
        <v>1716</v>
      </c>
      <c r="X90">
        <v>371</v>
      </c>
      <c r="Y90">
        <v>3384</v>
      </c>
      <c r="Z90">
        <v>552</v>
      </c>
      <c r="AA90">
        <v>2048</v>
      </c>
      <c r="AB90">
        <v>1104</v>
      </c>
      <c r="AC90">
        <v>707</v>
      </c>
      <c r="AD90">
        <v>1060</v>
      </c>
      <c r="AE90">
        <v>301</v>
      </c>
      <c r="AF90">
        <v>225</v>
      </c>
      <c r="AG90">
        <v>2472</v>
      </c>
      <c r="AH90">
        <v>967</v>
      </c>
      <c r="AI90">
        <v>2589</v>
      </c>
    </row>
    <row r="91" spans="1:35" x14ac:dyDescent="0.3">
      <c r="A91" s="3">
        <v>205</v>
      </c>
      <c r="B91">
        <v>2275</v>
      </c>
      <c r="C91">
        <v>70</v>
      </c>
      <c r="D91">
        <v>1366</v>
      </c>
      <c r="E91">
        <v>500</v>
      </c>
      <c r="F91">
        <v>3597</v>
      </c>
      <c r="G91">
        <v>1362</v>
      </c>
      <c r="H91">
        <v>2444</v>
      </c>
      <c r="I91">
        <v>432</v>
      </c>
      <c r="J91">
        <v>397</v>
      </c>
      <c r="K91">
        <v>637</v>
      </c>
      <c r="L91">
        <v>224</v>
      </c>
      <c r="M91">
        <v>214</v>
      </c>
      <c r="N91">
        <v>374</v>
      </c>
      <c r="O91">
        <v>331</v>
      </c>
      <c r="P91">
        <v>503</v>
      </c>
      <c r="Q91">
        <v>2383</v>
      </c>
      <c r="R91">
        <v>548</v>
      </c>
      <c r="S91">
        <v>726</v>
      </c>
      <c r="T91">
        <v>427</v>
      </c>
      <c r="U91">
        <v>670</v>
      </c>
      <c r="V91">
        <v>26</v>
      </c>
      <c r="W91">
        <v>1328</v>
      </c>
      <c r="X91">
        <v>721</v>
      </c>
      <c r="Y91">
        <v>621</v>
      </c>
      <c r="Z91">
        <v>199</v>
      </c>
      <c r="AA91">
        <v>1780</v>
      </c>
      <c r="AB91">
        <v>2216</v>
      </c>
      <c r="AC91">
        <v>2150</v>
      </c>
      <c r="AD91">
        <v>2733</v>
      </c>
      <c r="AE91">
        <v>176</v>
      </c>
      <c r="AF91">
        <v>309</v>
      </c>
      <c r="AG91">
        <v>755</v>
      </c>
      <c r="AH91">
        <v>571</v>
      </c>
      <c r="AI91">
        <v>1539</v>
      </c>
    </row>
    <row r="92" spans="1:35" x14ac:dyDescent="0.3">
      <c r="A92" s="3">
        <v>206</v>
      </c>
      <c r="B92">
        <v>4</v>
      </c>
      <c r="C92">
        <v>2758</v>
      </c>
      <c r="D92">
        <v>341</v>
      </c>
      <c r="E92">
        <v>101</v>
      </c>
      <c r="F92">
        <v>754</v>
      </c>
      <c r="G92">
        <v>901</v>
      </c>
      <c r="H92">
        <v>1848</v>
      </c>
      <c r="I92">
        <v>1938</v>
      </c>
      <c r="J92">
        <v>818</v>
      </c>
      <c r="K92">
        <v>699</v>
      </c>
      <c r="L92">
        <v>112</v>
      </c>
      <c r="M92">
        <v>67</v>
      </c>
      <c r="N92">
        <v>19</v>
      </c>
      <c r="O92">
        <v>1410</v>
      </c>
      <c r="P92">
        <v>15</v>
      </c>
      <c r="Q92">
        <v>2121</v>
      </c>
      <c r="R92">
        <v>2350</v>
      </c>
      <c r="S92">
        <v>188</v>
      </c>
      <c r="T92">
        <v>4285</v>
      </c>
      <c r="U92">
        <v>1370</v>
      </c>
      <c r="V92" s="17">
        <v>493.90058410093798</v>
      </c>
      <c r="W92">
        <v>1212</v>
      </c>
      <c r="X92">
        <v>3469</v>
      </c>
      <c r="Y92">
        <v>789</v>
      </c>
      <c r="Z92">
        <v>657</v>
      </c>
      <c r="AA92">
        <v>700</v>
      </c>
      <c r="AB92">
        <v>2210</v>
      </c>
      <c r="AC92">
        <v>2030</v>
      </c>
      <c r="AD92">
        <v>396</v>
      </c>
      <c r="AE92">
        <v>1464</v>
      </c>
      <c r="AF92">
        <v>733</v>
      </c>
      <c r="AG92">
        <v>987</v>
      </c>
      <c r="AH92">
        <v>1430</v>
      </c>
      <c r="AI92">
        <v>2444</v>
      </c>
    </row>
    <row r="93" spans="1:35" x14ac:dyDescent="0.3">
      <c r="A93" s="3">
        <v>207</v>
      </c>
      <c r="B93">
        <v>3378</v>
      </c>
      <c r="C93">
        <v>1649</v>
      </c>
      <c r="D93">
        <v>280</v>
      </c>
      <c r="E93">
        <v>578</v>
      </c>
      <c r="F93">
        <v>409</v>
      </c>
      <c r="G93">
        <v>1374</v>
      </c>
      <c r="H93">
        <v>2313</v>
      </c>
      <c r="I93">
        <v>122</v>
      </c>
      <c r="J93">
        <v>304</v>
      </c>
      <c r="K93">
        <v>847</v>
      </c>
      <c r="L93">
        <v>220</v>
      </c>
      <c r="M93">
        <v>784</v>
      </c>
      <c r="N93">
        <v>434</v>
      </c>
      <c r="O93">
        <v>1530</v>
      </c>
      <c r="P93">
        <v>203</v>
      </c>
      <c r="Q93">
        <v>2286</v>
      </c>
      <c r="R93">
        <v>569</v>
      </c>
      <c r="S93">
        <v>216</v>
      </c>
      <c r="T93">
        <v>2658</v>
      </c>
      <c r="U93">
        <v>430</v>
      </c>
      <c r="V93">
        <v>534.48749134793195</v>
      </c>
      <c r="W93">
        <v>2733</v>
      </c>
      <c r="X93">
        <v>1148</v>
      </c>
      <c r="Y93">
        <v>788</v>
      </c>
      <c r="Z93">
        <v>3074</v>
      </c>
      <c r="AA93">
        <v>3110</v>
      </c>
      <c r="AB93">
        <v>3527</v>
      </c>
      <c r="AC93">
        <v>1292</v>
      </c>
      <c r="AD93">
        <v>461</v>
      </c>
      <c r="AE93">
        <v>1069</v>
      </c>
      <c r="AF93">
        <v>644</v>
      </c>
      <c r="AG93">
        <v>1588</v>
      </c>
      <c r="AH93">
        <v>2882</v>
      </c>
      <c r="AI93">
        <v>1058</v>
      </c>
    </row>
    <row r="94" spans="1:35" x14ac:dyDescent="0.3">
      <c r="A94" s="3">
        <v>208</v>
      </c>
      <c r="B94">
        <v>484</v>
      </c>
      <c r="C94">
        <v>1136</v>
      </c>
      <c r="D94">
        <v>1118</v>
      </c>
      <c r="E94">
        <v>300</v>
      </c>
      <c r="F94">
        <v>497</v>
      </c>
      <c r="G94">
        <v>1259</v>
      </c>
      <c r="H94">
        <v>2443</v>
      </c>
      <c r="I94">
        <v>554</v>
      </c>
      <c r="J94">
        <v>784</v>
      </c>
      <c r="K94">
        <v>973</v>
      </c>
      <c r="L94">
        <v>710</v>
      </c>
      <c r="M94">
        <v>1977</v>
      </c>
      <c r="N94">
        <v>1378</v>
      </c>
      <c r="O94">
        <v>1453</v>
      </c>
      <c r="P94">
        <v>97</v>
      </c>
      <c r="Q94">
        <v>730</v>
      </c>
      <c r="R94">
        <v>656</v>
      </c>
      <c r="S94">
        <v>1150</v>
      </c>
      <c r="T94">
        <v>202</v>
      </c>
      <c r="U94">
        <v>135</v>
      </c>
      <c r="V94">
        <v>485.52300016125201</v>
      </c>
      <c r="W94">
        <v>291</v>
      </c>
      <c r="X94">
        <v>71</v>
      </c>
      <c r="Y94">
        <v>609</v>
      </c>
      <c r="Z94">
        <v>4320</v>
      </c>
      <c r="AA94">
        <v>1242</v>
      </c>
      <c r="AB94">
        <v>4920</v>
      </c>
      <c r="AC94">
        <v>2615</v>
      </c>
      <c r="AD94">
        <v>230</v>
      </c>
      <c r="AE94">
        <v>1444</v>
      </c>
      <c r="AF94">
        <v>569</v>
      </c>
      <c r="AG94">
        <v>1090</v>
      </c>
      <c r="AH94">
        <v>1912</v>
      </c>
      <c r="AI94">
        <v>2582</v>
      </c>
    </row>
    <row r="95" spans="1:35" x14ac:dyDescent="0.3">
      <c r="A95" s="3">
        <v>209</v>
      </c>
      <c r="B95">
        <v>219</v>
      </c>
      <c r="C95">
        <v>2267</v>
      </c>
      <c r="D95">
        <v>153</v>
      </c>
      <c r="E95">
        <v>1396.1334242795101</v>
      </c>
      <c r="F95">
        <v>628</v>
      </c>
      <c r="G95">
        <v>2463</v>
      </c>
      <c r="H95">
        <v>2784</v>
      </c>
      <c r="I95">
        <v>774</v>
      </c>
      <c r="J95">
        <v>629</v>
      </c>
      <c r="K95">
        <v>1177</v>
      </c>
      <c r="L95">
        <v>1084</v>
      </c>
      <c r="M95">
        <v>1514</v>
      </c>
      <c r="N95">
        <v>1626</v>
      </c>
      <c r="O95">
        <v>555</v>
      </c>
      <c r="P95">
        <v>69</v>
      </c>
      <c r="Q95">
        <v>1144</v>
      </c>
      <c r="R95">
        <v>944</v>
      </c>
      <c r="S95">
        <v>493</v>
      </c>
      <c r="T95">
        <v>919</v>
      </c>
      <c r="U95">
        <v>2043</v>
      </c>
      <c r="V95">
        <v>481.15952418574199</v>
      </c>
      <c r="W95">
        <v>403</v>
      </c>
      <c r="X95">
        <v>488</v>
      </c>
      <c r="Y95">
        <v>367</v>
      </c>
      <c r="Z95">
        <v>2317</v>
      </c>
      <c r="AA95">
        <v>2223</v>
      </c>
      <c r="AB95">
        <v>347</v>
      </c>
      <c r="AC95">
        <v>1498</v>
      </c>
      <c r="AD95">
        <v>504</v>
      </c>
      <c r="AE95">
        <v>1626</v>
      </c>
      <c r="AF95">
        <v>1627</v>
      </c>
      <c r="AG95">
        <v>1549</v>
      </c>
      <c r="AH95">
        <v>1702</v>
      </c>
      <c r="AI95">
        <v>2040</v>
      </c>
    </row>
    <row r="96" spans="1:35" x14ac:dyDescent="0.3">
      <c r="A96" s="3">
        <v>210</v>
      </c>
      <c r="B96">
        <v>1113</v>
      </c>
      <c r="C96">
        <v>1654</v>
      </c>
      <c r="D96">
        <v>1015.49003496495</v>
      </c>
      <c r="E96">
        <v>1176.9449416247801</v>
      </c>
      <c r="F96">
        <v>496</v>
      </c>
      <c r="G96">
        <v>544</v>
      </c>
      <c r="H96">
        <v>492</v>
      </c>
      <c r="I96">
        <v>806</v>
      </c>
      <c r="J96">
        <v>740</v>
      </c>
      <c r="K96">
        <v>639</v>
      </c>
      <c r="L96">
        <v>1005</v>
      </c>
      <c r="M96">
        <v>544</v>
      </c>
      <c r="N96">
        <v>1571</v>
      </c>
      <c r="O96">
        <v>723</v>
      </c>
      <c r="P96">
        <v>236</v>
      </c>
      <c r="Q96">
        <v>824</v>
      </c>
      <c r="R96">
        <v>90</v>
      </c>
      <c r="S96">
        <v>176</v>
      </c>
      <c r="T96">
        <v>2258</v>
      </c>
      <c r="U96">
        <v>511</v>
      </c>
      <c r="V96">
        <v>405.61901738095901</v>
      </c>
      <c r="W96">
        <v>652</v>
      </c>
      <c r="X96">
        <v>518</v>
      </c>
      <c r="Y96">
        <v>1395</v>
      </c>
      <c r="Z96">
        <v>2265</v>
      </c>
      <c r="AA96">
        <v>1223</v>
      </c>
      <c r="AB96">
        <v>2404</v>
      </c>
      <c r="AC96">
        <v>1998</v>
      </c>
      <c r="AD96">
        <v>347</v>
      </c>
      <c r="AE96">
        <v>2043</v>
      </c>
      <c r="AF96">
        <v>490</v>
      </c>
      <c r="AG96">
        <v>1063</v>
      </c>
      <c r="AH96">
        <v>1474</v>
      </c>
      <c r="AI96">
        <v>873</v>
      </c>
    </row>
    <row r="97" spans="1:35" x14ac:dyDescent="0.3">
      <c r="A97" s="3">
        <v>211</v>
      </c>
      <c r="B97">
        <v>948</v>
      </c>
      <c r="C97">
        <v>473</v>
      </c>
      <c r="D97">
        <v>1111.3469266460299</v>
      </c>
      <c r="E97">
        <v>1288.0423230495101</v>
      </c>
      <c r="F97">
        <v>957</v>
      </c>
      <c r="G97">
        <v>198</v>
      </c>
      <c r="H97">
        <v>2398</v>
      </c>
      <c r="I97">
        <v>1847</v>
      </c>
      <c r="J97">
        <v>585</v>
      </c>
      <c r="K97">
        <v>859</v>
      </c>
      <c r="L97">
        <v>549</v>
      </c>
      <c r="M97">
        <v>219</v>
      </c>
      <c r="N97">
        <v>583</v>
      </c>
      <c r="O97">
        <v>1317</v>
      </c>
      <c r="P97">
        <v>1108</v>
      </c>
      <c r="Q97">
        <v>639</v>
      </c>
      <c r="R97">
        <v>782</v>
      </c>
      <c r="S97">
        <v>132</v>
      </c>
      <c r="T97">
        <v>2218</v>
      </c>
      <c r="U97">
        <v>2755</v>
      </c>
      <c r="V97">
        <v>443.90730827762701</v>
      </c>
      <c r="W97">
        <v>263</v>
      </c>
      <c r="X97">
        <v>426</v>
      </c>
      <c r="Y97">
        <v>739</v>
      </c>
      <c r="Z97">
        <v>2548</v>
      </c>
      <c r="AA97">
        <v>443</v>
      </c>
      <c r="AB97">
        <v>41</v>
      </c>
      <c r="AC97">
        <v>2155</v>
      </c>
      <c r="AD97">
        <v>328</v>
      </c>
      <c r="AE97">
        <v>2542</v>
      </c>
      <c r="AF97">
        <v>642</v>
      </c>
      <c r="AG97">
        <v>807</v>
      </c>
      <c r="AH97">
        <v>1247</v>
      </c>
      <c r="AI97">
        <v>3361</v>
      </c>
    </row>
    <row r="98" spans="1:35" x14ac:dyDescent="0.3">
      <c r="A98" s="3">
        <v>212</v>
      </c>
      <c r="B98">
        <v>1074</v>
      </c>
      <c r="C98">
        <v>458</v>
      </c>
      <c r="D98">
        <v>833.15993770825503</v>
      </c>
      <c r="E98">
        <v>965.62579685589606</v>
      </c>
      <c r="F98">
        <v>309</v>
      </c>
      <c r="G98">
        <v>1155</v>
      </c>
      <c r="H98">
        <v>378</v>
      </c>
      <c r="I98">
        <v>1300</v>
      </c>
      <c r="J98">
        <v>77</v>
      </c>
      <c r="K98">
        <v>489</v>
      </c>
      <c r="L98">
        <v>652</v>
      </c>
      <c r="M98">
        <v>369</v>
      </c>
      <c r="N98">
        <v>1031</v>
      </c>
      <c r="O98">
        <v>337</v>
      </c>
      <c r="P98">
        <v>215</v>
      </c>
      <c r="Q98">
        <v>2992</v>
      </c>
      <c r="R98">
        <v>77</v>
      </c>
      <c r="S98">
        <v>457</v>
      </c>
      <c r="T98">
        <v>1151</v>
      </c>
      <c r="U98">
        <v>1242</v>
      </c>
      <c r="V98">
        <v>332.79057704253398</v>
      </c>
      <c r="W98">
        <v>94</v>
      </c>
      <c r="X98">
        <v>36</v>
      </c>
      <c r="Y98">
        <v>513</v>
      </c>
      <c r="Z98">
        <v>643</v>
      </c>
      <c r="AA98">
        <v>1218</v>
      </c>
      <c r="AB98">
        <v>779</v>
      </c>
      <c r="AC98">
        <v>3914</v>
      </c>
      <c r="AD98">
        <v>308</v>
      </c>
      <c r="AE98">
        <v>1503</v>
      </c>
      <c r="AF98">
        <v>623</v>
      </c>
      <c r="AG98">
        <v>226</v>
      </c>
      <c r="AH98">
        <v>1162</v>
      </c>
      <c r="AI98">
        <v>789</v>
      </c>
    </row>
    <row r="99" spans="1:35" x14ac:dyDescent="0.3">
      <c r="A99" s="3">
        <v>213</v>
      </c>
      <c r="B99">
        <v>377</v>
      </c>
      <c r="C99">
        <v>737</v>
      </c>
      <c r="D99">
        <v>926.04749966635598</v>
      </c>
      <c r="E99">
        <v>1073.2817486425399</v>
      </c>
      <c r="F99">
        <v>1859</v>
      </c>
      <c r="G99">
        <v>733</v>
      </c>
      <c r="H99">
        <v>892</v>
      </c>
      <c r="I99">
        <v>701</v>
      </c>
      <c r="J99">
        <v>881</v>
      </c>
      <c r="K99">
        <v>400</v>
      </c>
      <c r="L99">
        <v>907</v>
      </c>
      <c r="M99">
        <v>569</v>
      </c>
      <c r="N99">
        <v>170</v>
      </c>
      <c r="O99">
        <v>454</v>
      </c>
      <c r="P99">
        <v>517</v>
      </c>
      <c r="Q99">
        <v>2474</v>
      </c>
      <c r="R99">
        <v>92</v>
      </c>
      <c r="S99">
        <v>956.86664817965095</v>
      </c>
      <c r="T99">
        <v>427</v>
      </c>
      <c r="U99">
        <v>1683</v>
      </c>
      <c r="V99">
        <v>369.89282419825599</v>
      </c>
      <c r="W99">
        <v>459</v>
      </c>
      <c r="X99">
        <v>10</v>
      </c>
      <c r="Y99">
        <v>332</v>
      </c>
      <c r="Z99">
        <v>1152</v>
      </c>
      <c r="AA99">
        <v>327</v>
      </c>
      <c r="AB99">
        <v>1625</v>
      </c>
      <c r="AC99">
        <v>2725</v>
      </c>
      <c r="AD99">
        <v>288</v>
      </c>
      <c r="AE99">
        <v>1834</v>
      </c>
      <c r="AF99">
        <v>432</v>
      </c>
      <c r="AG99">
        <v>876</v>
      </c>
      <c r="AH99">
        <v>710</v>
      </c>
      <c r="AI99">
        <v>2822</v>
      </c>
    </row>
    <row r="100" spans="1:35" x14ac:dyDescent="0.3">
      <c r="A100" s="3">
        <v>214</v>
      </c>
      <c r="B100">
        <v>101</v>
      </c>
      <c r="C100">
        <v>1188</v>
      </c>
      <c r="D100">
        <v>853.622595556482</v>
      </c>
      <c r="E100">
        <v>989.34185595664201</v>
      </c>
      <c r="F100">
        <v>1346</v>
      </c>
      <c r="G100">
        <v>1975</v>
      </c>
      <c r="H100">
        <v>429</v>
      </c>
      <c r="I100">
        <v>653</v>
      </c>
      <c r="J100">
        <v>310</v>
      </c>
      <c r="K100">
        <v>322</v>
      </c>
      <c r="L100">
        <v>673</v>
      </c>
      <c r="M100">
        <v>933</v>
      </c>
      <c r="N100">
        <v>70</v>
      </c>
      <c r="O100">
        <v>363</v>
      </c>
      <c r="P100">
        <v>351</v>
      </c>
      <c r="Q100">
        <v>955</v>
      </c>
      <c r="R100">
        <v>597</v>
      </c>
      <c r="S100">
        <v>882.03142017511595</v>
      </c>
      <c r="T100">
        <v>2945</v>
      </c>
      <c r="U100">
        <v>845</v>
      </c>
      <c r="V100">
        <v>340.96401379517903</v>
      </c>
      <c r="W100">
        <v>430</v>
      </c>
      <c r="X100">
        <v>135</v>
      </c>
      <c r="Y100">
        <v>518</v>
      </c>
      <c r="Z100">
        <v>591</v>
      </c>
      <c r="AA100">
        <v>250</v>
      </c>
      <c r="AB100">
        <v>1680</v>
      </c>
      <c r="AC100">
        <v>1235</v>
      </c>
      <c r="AD100">
        <v>248</v>
      </c>
      <c r="AE100">
        <v>1727</v>
      </c>
      <c r="AF100">
        <v>48</v>
      </c>
      <c r="AG100">
        <v>1695</v>
      </c>
      <c r="AH100">
        <v>1136</v>
      </c>
      <c r="AI100">
        <v>1568</v>
      </c>
    </row>
    <row r="101" spans="1:35" x14ac:dyDescent="0.3">
      <c r="A101" s="3">
        <v>215</v>
      </c>
      <c r="B101">
        <v>1319</v>
      </c>
      <c r="C101">
        <v>1013</v>
      </c>
      <c r="D101">
        <v>1004.77755600709</v>
      </c>
      <c r="E101">
        <v>1164.52926296844</v>
      </c>
      <c r="F101">
        <v>908</v>
      </c>
      <c r="G101">
        <v>2139</v>
      </c>
      <c r="H101">
        <v>944</v>
      </c>
      <c r="I101">
        <v>229</v>
      </c>
      <c r="J101">
        <v>1713</v>
      </c>
      <c r="K101">
        <v>409</v>
      </c>
      <c r="L101">
        <v>1177</v>
      </c>
      <c r="M101">
        <v>3135</v>
      </c>
      <c r="N101">
        <v>465</v>
      </c>
      <c r="O101">
        <v>855</v>
      </c>
      <c r="P101">
        <v>798</v>
      </c>
      <c r="Q101">
        <v>1759</v>
      </c>
      <c r="R101">
        <v>553</v>
      </c>
      <c r="S101">
        <v>1038.2168639123099</v>
      </c>
      <c r="T101">
        <v>1354</v>
      </c>
      <c r="U101">
        <v>436</v>
      </c>
      <c r="V101">
        <v>401.340112154476</v>
      </c>
      <c r="W101">
        <v>1124</v>
      </c>
      <c r="X101">
        <v>135</v>
      </c>
      <c r="Y101">
        <v>229</v>
      </c>
      <c r="Z101">
        <v>1691</v>
      </c>
      <c r="AA101">
        <v>181</v>
      </c>
      <c r="AB101">
        <v>1563</v>
      </c>
      <c r="AC101">
        <v>1616</v>
      </c>
      <c r="AD101">
        <v>239</v>
      </c>
      <c r="AE101">
        <v>1516</v>
      </c>
      <c r="AF101">
        <v>113</v>
      </c>
      <c r="AG101">
        <v>321</v>
      </c>
      <c r="AH101">
        <v>744</v>
      </c>
      <c r="AI101">
        <v>1122</v>
      </c>
    </row>
    <row r="102" spans="1:35" x14ac:dyDescent="0.3">
      <c r="A102" s="3">
        <v>216</v>
      </c>
      <c r="B102">
        <v>57</v>
      </c>
      <c r="C102">
        <v>1045</v>
      </c>
      <c r="D102">
        <v>765.52960812135905</v>
      </c>
      <c r="E102">
        <v>887.24277831279505</v>
      </c>
      <c r="F102">
        <v>816</v>
      </c>
      <c r="G102">
        <v>1399</v>
      </c>
      <c r="H102">
        <v>882</v>
      </c>
      <c r="I102">
        <v>484.31121786433101</v>
      </c>
      <c r="J102">
        <v>991</v>
      </c>
      <c r="K102">
        <v>331</v>
      </c>
      <c r="L102">
        <v>285</v>
      </c>
      <c r="M102">
        <v>935</v>
      </c>
      <c r="N102">
        <v>276</v>
      </c>
      <c r="O102">
        <v>507</v>
      </c>
      <c r="P102">
        <v>868</v>
      </c>
      <c r="Q102">
        <v>1222</v>
      </c>
      <c r="R102">
        <v>209</v>
      </c>
      <c r="S102">
        <v>791.00667141456302</v>
      </c>
      <c r="T102">
        <v>531</v>
      </c>
      <c r="U102">
        <v>656</v>
      </c>
      <c r="V102">
        <v>305.77687308682101</v>
      </c>
      <c r="W102">
        <v>908</v>
      </c>
      <c r="X102">
        <v>150</v>
      </c>
      <c r="Y102">
        <v>1913</v>
      </c>
      <c r="Z102">
        <v>871</v>
      </c>
      <c r="AA102">
        <v>87</v>
      </c>
      <c r="AB102">
        <v>681</v>
      </c>
      <c r="AC102">
        <v>661</v>
      </c>
      <c r="AD102">
        <v>517</v>
      </c>
      <c r="AE102">
        <v>1679</v>
      </c>
      <c r="AF102">
        <v>125</v>
      </c>
      <c r="AG102">
        <v>1372</v>
      </c>
      <c r="AH102">
        <v>565</v>
      </c>
      <c r="AI102">
        <v>1681</v>
      </c>
    </row>
    <row r="103" spans="1:35" x14ac:dyDescent="0.3">
      <c r="A103" s="3">
        <v>217</v>
      </c>
      <c r="B103">
        <v>445</v>
      </c>
      <c r="C103">
        <v>250</v>
      </c>
      <c r="D103">
        <v>684.05674675821297</v>
      </c>
      <c r="E103">
        <v>792.816374773598</v>
      </c>
      <c r="F103">
        <v>441</v>
      </c>
      <c r="G103">
        <v>687</v>
      </c>
      <c r="H103">
        <v>730.30583364398501</v>
      </c>
      <c r="I103">
        <v>432.767529744782</v>
      </c>
      <c r="J103">
        <v>708</v>
      </c>
      <c r="K103">
        <v>152</v>
      </c>
      <c r="L103">
        <v>464</v>
      </c>
      <c r="M103">
        <v>459</v>
      </c>
      <c r="N103">
        <v>495</v>
      </c>
      <c r="O103">
        <v>615</v>
      </c>
      <c r="P103">
        <v>828</v>
      </c>
      <c r="Q103">
        <v>651</v>
      </c>
      <c r="R103">
        <v>112</v>
      </c>
      <c r="S103">
        <v>706.82237072507905</v>
      </c>
      <c r="T103">
        <v>749</v>
      </c>
      <c r="U103">
        <v>1428</v>
      </c>
      <c r="V103">
        <v>273.23402218908097</v>
      </c>
      <c r="W103">
        <v>594</v>
      </c>
      <c r="X103">
        <v>539.09444185407494</v>
      </c>
      <c r="Y103">
        <v>265</v>
      </c>
      <c r="Z103">
        <v>2393</v>
      </c>
      <c r="AA103">
        <v>1196.7965657304901</v>
      </c>
      <c r="AB103">
        <v>1042</v>
      </c>
      <c r="AC103">
        <v>255</v>
      </c>
      <c r="AD103">
        <v>464</v>
      </c>
      <c r="AE103">
        <v>582</v>
      </c>
      <c r="AF103">
        <v>213</v>
      </c>
      <c r="AG103">
        <v>1461</v>
      </c>
      <c r="AH103">
        <v>386</v>
      </c>
      <c r="AI103">
        <v>1250</v>
      </c>
    </row>
    <row r="104" spans="1:35" x14ac:dyDescent="0.3">
      <c r="A104" s="3">
        <v>218</v>
      </c>
      <c r="B104">
        <v>323</v>
      </c>
      <c r="C104">
        <v>562</v>
      </c>
      <c r="D104">
        <v>859.55795826886799</v>
      </c>
      <c r="E104">
        <v>996.22089534934605</v>
      </c>
      <c r="F104">
        <v>217</v>
      </c>
      <c r="G104">
        <v>799.10131830381897</v>
      </c>
      <c r="H104">
        <v>917.67268897265296</v>
      </c>
      <c r="I104">
        <v>543.79812488652306</v>
      </c>
      <c r="J104">
        <v>905</v>
      </c>
      <c r="K104">
        <v>628</v>
      </c>
      <c r="L104">
        <v>633.62783328412604</v>
      </c>
      <c r="M104">
        <v>493</v>
      </c>
      <c r="N104">
        <v>376</v>
      </c>
      <c r="O104">
        <v>117</v>
      </c>
      <c r="P104">
        <v>127</v>
      </c>
      <c r="Q104">
        <v>530</v>
      </c>
      <c r="R104">
        <v>590</v>
      </c>
      <c r="S104">
        <v>888.16432489464398</v>
      </c>
      <c r="T104">
        <v>1185</v>
      </c>
      <c r="U104">
        <v>2122</v>
      </c>
      <c r="V104">
        <v>343.33479107267198</v>
      </c>
      <c r="W104">
        <v>1052.4829687501499</v>
      </c>
      <c r="X104">
        <v>677.40421450419205</v>
      </c>
      <c r="Y104">
        <v>1095</v>
      </c>
      <c r="Z104">
        <v>702</v>
      </c>
      <c r="AA104">
        <v>1503.84603297629</v>
      </c>
      <c r="AB104">
        <v>1291.10028526927</v>
      </c>
      <c r="AC104">
        <v>503</v>
      </c>
      <c r="AD104">
        <v>1195</v>
      </c>
      <c r="AE104">
        <v>1239</v>
      </c>
      <c r="AF104">
        <v>436</v>
      </c>
      <c r="AG104">
        <v>2356</v>
      </c>
      <c r="AH104">
        <v>193</v>
      </c>
      <c r="AI104">
        <v>2180</v>
      </c>
    </row>
    <row r="105" spans="1:35" x14ac:dyDescent="0.3">
      <c r="A105" s="3">
        <v>219</v>
      </c>
      <c r="B105">
        <v>323</v>
      </c>
      <c r="C105">
        <v>195</v>
      </c>
      <c r="D105">
        <v>858.71393014692899</v>
      </c>
      <c r="E105">
        <v>995.24267381099298</v>
      </c>
      <c r="F105">
        <v>949.05730708979695</v>
      </c>
      <c r="G105">
        <v>798.31665902950499</v>
      </c>
      <c r="H105">
        <v>916.77160156511297</v>
      </c>
      <c r="I105">
        <v>543.26415515630197</v>
      </c>
      <c r="J105">
        <v>1831</v>
      </c>
      <c r="K105">
        <v>510</v>
      </c>
      <c r="L105">
        <v>633.00565748896395</v>
      </c>
      <c r="M105">
        <v>761.19550896239195</v>
      </c>
      <c r="N105">
        <v>265</v>
      </c>
      <c r="O105">
        <v>27</v>
      </c>
      <c r="P105">
        <v>31</v>
      </c>
      <c r="Q105">
        <v>807</v>
      </c>
      <c r="R105">
        <v>101</v>
      </c>
      <c r="S105">
        <v>887.29221622852799</v>
      </c>
      <c r="T105">
        <v>1458</v>
      </c>
      <c r="U105">
        <v>1049</v>
      </c>
      <c r="V105">
        <v>342.99766299945497</v>
      </c>
      <c r="W105">
        <v>1051.4495123009101</v>
      </c>
      <c r="X105">
        <v>676.73905654107296</v>
      </c>
      <c r="Y105">
        <v>136</v>
      </c>
      <c r="Z105">
        <v>164</v>
      </c>
      <c r="AA105">
        <v>1502.36937408879</v>
      </c>
      <c r="AB105">
        <v>1289.83252684538</v>
      </c>
      <c r="AC105">
        <v>59</v>
      </c>
      <c r="AD105">
        <v>1708</v>
      </c>
      <c r="AE105">
        <v>2037</v>
      </c>
      <c r="AF105">
        <v>54</v>
      </c>
      <c r="AG105">
        <v>2901</v>
      </c>
      <c r="AH105">
        <v>220</v>
      </c>
      <c r="AI105">
        <v>2470</v>
      </c>
    </row>
    <row r="106" spans="1:35" x14ac:dyDescent="0.3">
      <c r="A106" s="3">
        <v>220</v>
      </c>
      <c r="B106">
        <v>7</v>
      </c>
      <c r="C106">
        <v>313</v>
      </c>
      <c r="D106">
        <v>660.50165310606701</v>
      </c>
      <c r="E106">
        <v>765.51620870558395</v>
      </c>
      <c r="F106">
        <v>729.99156049092005</v>
      </c>
      <c r="G106">
        <v>614.04555889125095</v>
      </c>
      <c r="H106">
        <v>705.15819101455202</v>
      </c>
      <c r="I106">
        <v>417.865440831537</v>
      </c>
      <c r="J106">
        <v>575.75545961645798</v>
      </c>
      <c r="K106">
        <v>395.15120280749602</v>
      </c>
      <c r="L106">
        <v>486.89240379899297</v>
      </c>
      <c r="M106">
        <v>585.49288948794299</v>
      </c>
      <c r="N106">
        <v>361</v>
      </c>
      <c r="O106">
        <v>60</v>
      </c>
      <c r="P106">
        <v>646.272120811999</v>
      </c>
      <c r="Q106">
        <v>867</v>
      </c>
      <c r="R106">
        <v>98</v>
      </c>
      <c r="S106">
        <v>682.48338363257199</v>
      </c>
      <c r="T106">
        <v>1892</v>
      </c>
      <c r="U106">
        <v>1018</v>
      </c>
      <c r="V106">
        <v>263.82537979314299</v>
      </c>
      <c r="W106">
        <v>808.74914596268798</v>
      </c>
      <c r="X106">
        <v>520.53106542367004</v>
      </c>
      <c r="Y106">
        <v>845.21100631950503</v>
      </c>
      <c r="Z106">
        <v>159</v>
      </c>
      <c r="AA106">
        <v>1155.5856400479599</v>
      </c>
      <c r="AB106">
        <v>992.10751702663595</v>
      </c>
      <c r="AC106">
        <v>893.60694200194598</v>
      </c>
      <c r="AD106">
        <v>717</v>
      </c>
      <c r="AE106">
        <v>310</v>
      </c>
      <c r="AF106">
        <v>250.945548315114</v>
      </c>
      <c r="AG106">
        <v>1500</v>
      </c>
      <c r="AH106">
        <v>61</v>
      </c>
      <c r="AI106">
        <v>1603</v>
      </c>
    </row>
    <row r="107" spans="1:35" x14ac:dyDescent="0.3">
      <c r="A107" s="3">
        <v>221</v>
      </c>
      <c r="B107">
        <v>76</v>
      </c>
      <c r="C107">
        <v>255</v>
      </c>
      <c r="D107">
        <v>726.69174990199895</v>
      </c>
      <c r="E107">
        <v>842.23001061924595</v>
      </c>
      <c r="F107">
        <v>803.14537296440005</v>
      </c>
      <c r="G107">
        <v>675.58020820105799</v>
      </c>
      <c r="H107">
        <v>775.82340822799301</v>
      </c>
      <c r="I107">
        <v>459.74051673947901</v>
      </c>
      <c r="J107">
        <v>633.45298975818798</v>
      </c>
      <c r="K107">
        <v>434.75004368788302</v>
      </c>
      <c r="L107">
        <v>535.68480256397504</v>
      </c>
      <c r="M107">
        <v>644.16622825980005</v>
      </c>
      <c r="N107">
        <v>193</v>
      </c>
      <c r="O107">
        <v>617.97909029373</v>
      </c>
      <c r="P107">
        <v>711.036265397325</v>
      </c>
      <c r="Q107">
        <v>918.96929497166104</v>
      </c>
      <c r="R107">
        <v>182</v>
      </c>
      <c r="S107">
        <v>750.87633460526001</v>
      </c>
      <c r="T107">
        <v>492</v>
      </c>
      <c r="U107">
        <v>885</v>
      </c>
      <c r="V107">
        <v>290.263820738638</v>
      </c>
      <c r="W107">
        <v>889.79543003982099</v>
      </c>
      <c r="X107">
        <v>572.69447088639197</v>
      </c>
      <c r="Y107">
        <v>929.91120583371196</v>
      </c>
      <c r="Z107">
        <v>639.750452408157</v>
      </c>
      <c r="AA107">
        <v>1271.3890801976099</v>
      </c>
      <c r="AB107">
        <v>1091.5285061863499</v>
      </c>
      <c r="AC107">
        <v>983.15700301621803</v>
      </c>
      <c r="AD107">
        <v>433</v>
      </c>
      <c r="AE107">
        <v>964</v>
      </c>
      <c r="AF107">
        <v>276.09328238591598</v>
      </c>
      <c r="AG107">
        <v>1206</v>
      </c>
      <c r="AH107">
        <v>648.80173877375103</v>
      </c>
      <c r="AI107">
        <v>2353</v>
      </c>
    </row>
    <row r="108" spans="1:35" x14ac:dyDescent="0.3">
      <c r="A108" s="3">
        <v>222</v>
      </c>
      <c r="B108">
        <v>15</v>
      </c>
      <c r="C108">
        <v>242</v>
      </c>
      <c r="D108">
        <v>513.47221698901399</v>
      </c>
      <c r="E108">
        <v>595.11025406307203</v>
      </c>
      <c r="F108">
        <v>567.49349025570598</v>
      </c>
      <c r="G108">
        <v>477.35738052525102</v>
      </c>
      <c r="H108">
        <v>548.18810010115305</v>
      </c>
      <c r="I108">
        <v>324.84748261332999</v>
      </c>
      <c r="J108">
        <v>447.590764599674</v>
      </c>
      <c r="K108">
        <v>307.18949638203497</v>
      </c>
      <c r="L108">
        <v>378.50886358560598</v>
      </c>
      <c r="M108">
        <v>455.16062116234099</v>
      </c>
      <c r="N108">
        <v>297.69086855414798</v>
      </c>
      <c r="O108">
        <v>436.65708700217999</v>
      </c>
      <c r="P108">
        <v>502.41024326785998</v>
      </c>
      <c r="Q108">
        <v>649.33338940865303</v>
      </c>
      <c r="R108">
        <v>310.04163012629999</v>
      </c>
      <c r="S108">
        <v>530.56079494010396</v>
      </c>
      <c r="T108">
        <v>410</v>
      </c>
      <c r="U108">
        <v>1017</v>
      </c>
      <c r="V108">
        <v>205.097160193165</v>
      </c>
      <c r="W108">
        <v>628.71947166765096</v>
      </c>
      <c r="X108">
        <v>404.659491541438</v>
      </c>
      <c r="Y108">
        <v>657.06483231436505</v>
      </c>
      <c r="Z108">
        <v>452.04049856481203</v>
      </c>
      <c r="AA108">
        <v>898.34927483530998</v>
      </c>
      <c r="AB108">
        <v>771.26181248461398</v>
      </c>
      <c r="AC108">
        <v>694.68772523359996</v>
      </c>
      <c r="AD108">
        <v>393</v>
      </c>
      <c r="AE108">
        <v>848</v>
      </c>
      <c r="AF108">
        <v>195.08442125935699</v>
      </c>
      <c r="AG108">
        <v>576</v>
      </c>
      <c r="AH108">
        <v>458.436042861543</v>
      </c>
      <c r="AI108">
        <v>864.94673604418006</v>
      </c>
    </row>
    <row r="109" spans="1:35" x14ac:dyDescent="0.3">
      <c r="A109" s="3">
        <v>223</v>
      </c>
      <c r="B109">
        <v>44</v>
      </c>
      <c r="C109">
        <v>213</v>
      </c>
      <c r="D109">
        <v>340.75389800542001</v>
      </c>
      <c r="E109">
        <v>394.93108492488398</v>
      </c>
      <c r="F109">
        <v>376.603863586822</v>
      </c>
      <c r="G109">
        <v>316.78713113676002</v>
      </c>
      <c r="H109">
        <v>363.792293500467</v>
      </c>
      <c r="I109">
        <v>215.57748386749799</v>
      </c>
      <c r="J109">
        <v>297.03321179815202</v>
      </c>
      <c r="K109">
        <v>203.85917296465601</v>
      </c>
      <c r="L109">
        <v>251.18861487035201</v>
      </c>
      <c r="M109">
        <v>302.05677422334998</v>
      </c>
      <c r="N109">
        <v>197.55563122948399</v>
      </c>
      <c r="O109">
        <v>289.77733545362003</v>
      </c>
      <c r="P109">
        <v>333.41289191685797</v>
      </c>
      <c r="Q109">
        <v>430.91502815673698</v>
      </c>
      <c r="R109">
        <v>205.75193068138199</v>
      </c>
      <c r="S109">
        <v>352.09435636114301</v>
      </c>
      <c r="T109">
        <v>505</v>
      </c>
      <c r="U109">
        <v>330</v>
      </c>
      <c r="V109">
        <v>136.10797034136999</v>
      </c>
      <c r="W109">
        <v>417.23508636924998</v>
      </c>
      <c r="X109">
        <v>268.54288188982002</v>
      </c>
      <c r="Y109" s="3">
        <v>436.04583102423101</v>
      </c>
      <c r="Z109">
        <v>299.98619051693998</v>
      </c>
      <c r="AA109">
        <v>596.16865883304001</v>
      </c>
      <c r="AB109">
        <v>511.83001621882102</v>
      </c>
      <c r="AC109">
        <v>461.01340202155097</v>
      </c>
      <c r="AD109">
        <v>459</v>
      </c>
      <c r="AE109">
        <v>429.98901084789202</v>
      </c>
      <c r="AF109">
        <v>129.46325572563001</v>
      </c>
      <c r="AG109">
        <v>342.36933902676702</v>
      </c>
      <c r="AH109">
        <v>304.23046120630801</v>
      </c>
      <c r="AI109">
        <v>574.00186905960402</v>
      </c>
    </row>
    <row r="110" spans="1:35" x14ac:dyDescent="0.3">
      <c r="A110" s="3">
        <v>224</v>
      </c>
      <c r="B110">
        <v>64</v>
      </c>
      <c r="C110">
        <v>67</v>
      </c>
      <c r="D110">
        <v>779.71346024429602</v>
      </c>
      <c r="E110">
        <v>903.68176140770095</v>
      </c>
      <c r="F110">
        <v>861.745392355337</v>
      </c>
      <c r="G110">
        <v>724.87267652826802</v>
      </c>
      <c r="H110">
        <v>832.42994284377198</v>
      </c>
      <c r="I110">
        <v>493.28464555952399</v>
      </c>
      <c r="J110">
        <v>679.67173547105301</v>
      </c>
      <c r="K110">
        <v>466.47079304858102</v>
      </c>
      <c r="L110">
        <v>574.77007619765197</v>
      </c>
      <c r="M110">
        <v>691.16665662911498</v>
      </c>
      <c r="N110">
        <v>452.04702152974397</v>
      </c>
      <c r="O110">
        <v>663.06883067784395</v>
      </c>
      <c r="P110">
        <v>762.91576087104704</v>
      </c>
      <c r="Q110">
        <v>986.02026051141695</v>
      </c>
      <c r="R110">
        <v>470.80180316326698</v>
      </c>
      <c r="S110">
        <v>805.66270901626694</v>
      </c>
      <c r="T110">
        <v>2114</v>
      </c>
      <c r="U110">
        <v>1032</v>
      </c>
      <c r="V110">
        <v>311.44241341309697</v>
      </c>
      <c r="W110">
        <v>954.71780176841298</v>
      </c>
      <c r="X110">
        <v>614.48012937537601</v>
      </c>
      <c r="Y110" s="3">
        <v>997.76056901694903</v>
      </c>
      <c r="Z110">
        <v>686.42874399360403</v>
      </c>
      <c r="AA110">
        <v>1364.1538064245599</v>
      </c>
      <c r="AB110">
        <v>1171.1700278419401</v>
      </c>
      <c r="AC110">
        <v>1054.89139304385</v>
      </c>
      <c r="AD110">
        <v>272</v>
      </c>
      <c r="AE110" s="3">
        <v>983.901345588803</v>
      </c>
      <c r="AF110">
        <v>296.237969551427</v>
      </c>
      <c r="AG110">
        <v>783.40991238372396</v>
      </c>
      <c r="AH110">
        <v>696.14048857642604</v>
      </c>
      <c r="AI110">
        <v>1313.4317318410699</v>
      </c>
    </row>
    <row r="111" spans="1:35" x14ac:dyDescent="0.3">
      <c r="A111" s="3">
        <v>225</v>
      </c>
      <c r="B111">
        <v>81</v>
      </c>
      <c r="C111">
        <v>332</v>
      </c>
      <c r="D111">
        <v>1183.25670676957</v>
      </c>
      <c r="E111">
        <v>1371.38521086676</v>
      </c>
      <c r="F111">
        <v>1307.7445410867099</v>
      </c>
      <c r="G111">
        <v>1100.03290668861</v>
      </c>
      <c r="H111">
        <v>1263.25679219424</v>
      </c>
      <c r="I111">
        <v>748.58573538247197</v>
      </c>
      <c r="J111">
        <v>1031.43807818954</v>
      </c>
      <c r="K111">
        <v>707.89428839643597</v>
      </c>
      <c r="L111">
        <v>872.24422377619601</v>
      </c>
      <c r="M111">
        <v>1048.88224030579</v>
      </c>
      <c r="N111">
        <v>686.005450786388</v>
      </c>
      <c r="O111">
        <v>1006.24229603985</v>
      </c>
      <c r="P111">
        <v>1157.7653378913501</v>
      </c>
      <c r="Q111">
        <v>1496.33831390351</v>
      </c>
      <c r="R111">
        <v>714.466839156074</v>
      </c>
      <c r="S111">
        <v>1222.6361206214499</v>
      </c>
      <c r="T111">
        <v>3801</v>
      </c>
      <c r="U111">
        <v>256</v>
      </c>
      <c r="V111">
        <v>472.630470545572</v>
      </c>
      <c r="W111">
        <v>1448.8351775865699</v>
      </c>
      <c r="X111">
        <v>932.50636873627195</v>
      </c>
      <c r="Y111" s="3">
        <v>1514.1548809682699</v>
      </c>
      <c r="Z111">
        <v>1041.69223481011</v>
      </c>
      <c r="AA111" s="3">
        <v>2070.17617386135</v>
      </c>
      <c r="AB111">
        <v>1777.3130037429401</v>
      </c>
      <c r="AC111">
        <v>1600.8539783368701</v>
      </c>
      <c r="AD111">
        <v>915.79893662135498</v>
      </c>
      <c r="AE111" s="3">
        <v>1493.1228159244499</v>
      </c>
      <c r="AF111">
        <v>449.55693460945798</v>
      </c>
      <c r="AG111">
        <v>1188.8663686459799</v>
      </c>
      <c r="AH111">
        <v>1056.43036170254</v>
      </c>
      <c r="AI111">
        <v>1993.20278849386</v>
      </c>
    </row>
    <row r="112" spans="1:35" x14ac:dyDescent="0.3">
      <c r="A112" s="3">
        <v>226</v>
      </c>
      <c r="B112">
        <v>56</v>
      </c>
      <c r="C112">
        <v>174</v>
      </c>
      <c r="D112">
        <v>286.28586231791002</v>
      </c>
      <c r="E112">
        <v>331.80306337841603</v>
      </c>
      <c r="F112">
        <v>316.40537199411102</v>
      </c>
      <c r="G112">
        <v>266.15008701211099</v>
      </c>
      <c r="H112">
        <v>305.641681271717</v>
      </c>
      <c r="I112">
        <v>181.11836455972801</v>
      </c>
      <c r="J112">
        <v>249.55375147374201</v>
      </c>
      <c r="K112">
        <v>171.27317672436499</v>
      </c>
      <c r="L112">
        <v>211.03721569832601</v>
      </c>
      <c r="M112">
        <v>253.774324361971</v>
      </c>
      <c r="N112">
        <v>165.97723176704901</v>
      </c>
      <c r="O112">
        <v>243.457703113202</v>
      </c>
      <c r="P112">
        <v>280.11830993638603</v>
      </c>
      <c r="Q112">
        <v>362.03516232097098</v>
      </c>
      <c r="R112">
        <v>172.86339434939299</v>
      </c>
      <c r="S112">
        <v>295.81363204233799</v>
      </c>
      <c r="T112">
        <v>614</v>
      </c>
      <c r="U112">
        <v>237.505791459938</v>
      </c>
      <c r="V112">
        <v>114.35171684717901</v>
      </c>
      <c r="W112">
        <v>350.54191524068898</v>
      </c>
      <c r="X112">
        <v>225.61750011750101</v>
      </c>
      <c r="Y112" s="3">
        <v>366.345852497294</v>
      </c>
      <c r="Z112">
        <v>252.03474061966901</v>
      </c>
      <c r="AA112" s="3">
        <v>500.87377089331801</v>
      </c>
      <c r="AB112">
        <v>430.01628878604402</v>
      </c>
      <c r="AC112" s="3">
        <v>387.32248695884198</v>
      </c>
      <c r="AD112">
        <v>221.57519001844</v>
      </c>
      <c r="AE112" s="3">
        <v>361.25721483226999</v>
      </c>
      <c r="AF112" s="3">
        <v>108.769141817085</v>
      </c>
      <c r="AG112" s="3">
        <v>287.64315479384999</v>
      </c>
      <c r="AH112" s="3">
        <v>255.60060564565299</v>
      </c>
      <c r="AI112">
        <v>482.250284561532</v>
      </c>
    </row>
    <row r="113" spans="1:39" x14ac:dyDescent="0.3">
      <c r="A113" s="3">
        <v>227</v>
      </c>
      <c r="B113">
        <v>123</v>
      </c>
      <c r="C113">
        <v>227</v>
      </c>
      <c r="D113">
        <v>348.69889393403798</v>
      </c>
      <c r="E113">
        <v>404.13927625984797</v>
      </c>
      <c r="F113">
        <v>385.38474216144101</v>
      </c>
      <c r="G113">
        <v>324.17332869583697</v>
      </c>
      <c r="H113">
        <v>372.27446481395702</v>
      </c>
      <c r="I113">
        <v>220.60388475690101</v>
      </c>
      <c r="J113">
        <v>303.95883466700502</v>
      </c>
      <c r="K113" s="3">
        <v>208.61235264077999</v>
      </c>
      <c r="L113">
        <v>257.04532900704999</v>
      </c>
      <c r="M113">
        <v>309.09953242730899</v>
      </c>
      <c r="N113">
        <v>202.16184146725499</v>
      </c>
      <c r="O113">
        <v>296.53378994352801</v>
      </c>
      <c r="P113">
        <v>341.18675652447803</v>
      </c>
      <c r="Q113" s="3">
        <v>440.96225913731399</v>
      </c>
      <c r="R113">
        <v>210.54925273523401</v>
      </c>
      <c r="S113">
        <v>360.30380758876203</v>
      </c>
      <c r="T113">
        <v>678</v>
      </c>
      <c r="U113">
        <v>289.28430506441299</v>
      </c>
      <c r="V113">
        <v>139.28147495398201</v>
      </c>
      <c r="W113">
        <v>426.963375199513</v>
      </c>
      <c r="X113">
        <v>274.80425353530097</v>
      </c>
      <c r="Y113" s="3">
        <v>446.21272053410399</v>
      </c>
      <c r="Z113">
        <v>306.98070282262802</v>
      </c>
      <c r="AA113" s="3">
        <v>610.06900014684095</v>
      </c>
      <c r="AB113" s="3">
        <v>523.76391533353103</v>
      </c>
      <c r="AC113" s="3">
        <v>471.762460040218</v>
      </c>
      <c r="AD113" s="3">
        <v>269.88068144179101</v>
      </c>
      <c r="AE113" s="3">
        <v>440.01471151415001</v>
      </c>
      <c r="AF113" s="3">
        <v>132.48184559984901</v>
      </c>
      <c r="AG113" s="3">
        <v>350.35208868557601</v>
      </c>
      <c r="AH113" s="3">
        <v>311.32396013331299</v>
      </c>
      <c r="AI113">
        <v>587.38541710738195</v>
      </c>
    </row>
    <row r="114" spans="1:39" x14ac:dyDescent="0.3">
      <c r="A114" s="3">
        <v>228</v>
      </c>
      <c r="B114">
        <v>98</v>
      </c>
      <c r="C114">
        <v>234</v>
      </c>
      <c r="D114">
        <v>190.20025096317801</v>
      </c>
      <c r="E114">
        <v>220.44062661132301</v>
      </c>
      <c r="F114">
        <v>210.21086779719701</v>
      </c>
      <c r="G114">
        <v>176.822691478037</v>
      </c>
      <c r="H114">
        <v>203.05983130649901</v>
      </c>
      <c r="I114">
        <v>120.33002142995301</v>
      </c>
      <c r="J114">
        <v>165.79661034735099</v>
      </c>
      <c r="K114" s="3">
        <v>113.789175392966</v>
      </c>
      <c r="L114">
        <v>140.20731798136899</v>
      </c>
      <c r="M114">
        <v>168.60069403135901</v>
      </c>
      <c r="N114">
        <v>110.270729616766</v>
      </c>
      <c r="O114">
        <v>161.746646928964</v>
      </c>
      <c r="P114">
        <v>186.10297441119801</v>
      </c>
      <c r="Q114" s="3">
        <v>240.52633202654101</v>
      </c>
      <c r="R114">
        <v>114.84576562627799</v>
      </c>
      <c r="S114">
        <v>196.53059568132099</v>
      </c>
      <c r="T114">
        <v>228.744879464609</v>
      </c>
      <c r="U114">
        <v>157.79249174964599</v>
      </c>
      <c r="V114">
        <v>75.972228977932005</v>
      </c>
      <c r="W114" s="3">
        <v>232.89070615998401</v>
      </c>
      <c r="X114">
        <v>149.89427892389199</v>
      </c>
      <c r="Y114" s="3">
        <v>243.39048696750299</v>
      </c>
      <c r="Z114">
        <v>167.445238912295</v>
      </c>
      <c r="AA114" s="3">
        <v>332.76737131575499</v>
      </c>
      <c r="AB114" s="3">
        <v>285.69158893268201</v>
      </c>
      <c r="AC114" s="3">
        <v>257.326993622396</v>
      </c>
      <c r="AD114" s="3">
        <v>147.208823717131</v>
      </c>
      <c r="AE114" s="3">
        <v>240.009971670347</v>
      </c>
      <c r="AF114" s="3">
        <v>72.2634231367296</v>
      </c>
      <c r="AG114" s="3">
        <v>191.10273091570201</v>
      </c>
      <c r="AH114" s="3">
        <v>169.814505819164</v>
      </c>
      <c r="AI114">
        <v>320.39479359636698</v>
      </c>
    </row>
    <row r="115" spans="1:39" x14ac:dyDescent="0.3">
      <c r="A115" s="3">
        <v>229</v>
      </c>
      <c r="B115">
        <v>50</v>
      </c>
      <c r="C115">
        <v>11</v>
      </c>
      <c r="D115">
        <v>34.946458846180803</v>
      </c>
      <c r="E115">
        <v>40.502676692184103</v>
      </c>
      <c r="F115">
        <v>38.623111028450197</v>
      </c>
      <c r="G115">
        <v>32.4885316486113</v>
      </c>
      <c r="H115">
        <v>37.309214611695801</v>
      </c>
      <c r="I115" s="3">
        <v>22.1088462253154</v>
      </c>
      <c r="J115" s="3">
        <v>30.4626535834648</v>
      </c>
      <c r="K115" s="3">
        <v>20.907063291018002</v>
      </c>
      <c r="L115">
        <v>25.761002815696202</v>
      </c>
      <c r="M115">
        <v>30.977861999634701</v>
      </c>
      <c r="N115">
        <v>20.260601290438299</v>
      </c>
      <c r="O115">
        <v>29.718533027034798</v>
      </c>
      <c r="P115" s="3">
        <v>34.193644739437303</v>
      </c>
      <c r="Q115" s="3">
        <v>44.1931245811056</v>
      </c>
      <c r="R115">
        <v>21.101195754532402</v>
      </c>
      <c r="S115">
        <v>36.1095643725264</v>
      </c>
      <c r="T115">
        <v>42.028458241203097</v>
      </c>
      <c r="U115">
        <v>28.992015696511299</v>
      </c>
      <c r="V115">
        <v>13.9587633575119</v>
      </c>
      <c r="W115" s="3">
        <v>42.790191847000003</v>
      </c>
      <c r="X115">
        <v>27.5408368309505</v>
      </c>
      <c r="Y115" s="3">
        <v>44.719369720918102</v>
      </c>
      <c r="Z115">
        <v>30.765563695746099</v>
      </c>
      <c r="AA115" s="3">
        <v>61.141038160206101</v>
      </c>
      <c r="AB115" s="3">
        <v>52.491565556488602</v>
      </c>
      <c r="AC115" s="3">
        <v>47.2799943798355</v>
      </c>
      <c r="AD115" s="3">
        <v>27.047424147705399</v>
      </c>
      <c r="AE115" s="3">
        <v>44.098249892675099</v>
      </c>
      <c r="AF115" s="3">
        <v>13.2773253642873</v>
      </c>
      <c r="AG115" s="3">
        <v>35.112274294699901</v>
      </c>
      <c r="AH115" s="3">
        <v>31.200880638990999</v>
      </c>
      <c r="AI115" s="3">
        <v>58.867760727950902</v>
      </c>
    </row>
    <row r="116" spans="1:39" x14ac:dyDescent="0.3">
      <c r="A116" s="3">
        <v>230</v>
      </c>
      <c r="B116">
        <v>38</v>
      </c>
      <c r="C116">
        <v>66.238309202237403</v>
      </c>
      <c r="D116">
        <v>59.146256522177801</v>
      </c>
      <c r="E116">
        <v>68.5521302515847</v>
      </c>
      <c r="F116">
        <v>65.373192826411</v>
      </c>
      <c r="G116">
        <v>54.991683626717197</v>
      </c>
      <c r="H116">
        <v>63.153178294634003</v>
      </c>
      <c r="I116" s="3">
        <v>37.424770676705002</v>
      </c>
      <c r="J116" s="3">
        <v>51.566667406624099</v>
      </c>
      <c r="K116" s="3">
        <v>35.392052256933901</v>
      </c>
      <c r="L116">
        <v>43.609718130080203</v>
      </c>
      <c r="M116">
        <v>52.442279646728601</v>
      </c>
      <c r="N116" s="3">
        <v>34.299990040381999</v>
      </c>
      <c r="O116" s="3">
        <v>50.312578264633501</v>
      </c>
      <c r="P116" s="3">
        <v>57.890280699808599</v>
      </c>
      <c r="Q116" s="3">
        <v>74.821717975894799</v>
      </c>
      <c r="R116" s="3">
        <v>35.726990820919802</v>
      </c>
      <c r="S116" s="3">
        <v>61.139156500689701</v>
      </c>
      <c r="T116">
        <v>71.162963905531498</v>
      </c>
      <c r="U116" s="3">
        <v>49.0912996645351</v>
      </c>
      <c r="V116" s="3">
        <v>23.636533036415202</v>
      </c>
      <c r="W116" s="3">
        <v>72.457979046593096</v>
      </c>
      <c r="X116">
        <v>46.637461442120802</v>
      </c>
      <c r="Y116" s="3">
        <v>75.729238873886402</v>
      </c>
      <c r="Z116" s="3">
        <v>52.1013835720317</v>
      </c>
      <c r="AA116" s="3">
        <v>103.544848451145</v>
      </c>
      <c r="AB116" s="3">
        <v>88.901208535001501</v>
      </c>
      <c r="AC116" s="3">
        <v>80.078290236649494</v>
      </c>
      <c r="AD116" s="3">
        <v>45.812140522001101</v>
      </c>
      <c r="AE116" s="3">
        <v>74.694032578349805</v>
      </c>
      <c r="AF116" s="3">
        <v>22.4900926428239</v>
      </c>
      <c r="AG116" s="3">
        <v>59.476368806377103</v>
      </c>
      <c r="AH116" s="3">
        <v>52.852450468580798</v>
      </c>
      <c r="AI116" s="3">
        <v>99.721119301749795</v>
      </c>
    </row>
    <row r="117" spans="1:39" x14ac:dyDescent="0.3">
      <c r="A117" s="3">
        <v>231</v>
      </c>
      <c r="B117">
        <v>30</v>
      </c>
      <c r="C117">
        <v>52.294113523229001</v>
      </c>
      <c r="D117">
        <v>46.695048080704197</v>
      </c>
      <c r="E117">
        <v>54.120838539300401</v>
      </c>
      <c r="F117">
        <v>51.611116631370002</v>
      </c>
      <c r="G117">
        <v>43.415076675424899</v>
      </c>
      <c r="H117">
        <v>49.8584491730021</v>
      </c>
      <c r="I117" s="3">
        <v>29.5462724968088</v>
      </c>
      <c r="J117" s="3">
        <v>40.711079152781799</v>
      </c>
      <c r="K117" s="3">
        <v>27.941472775195699</v>
      </c>
      <c r="L117" s="3">
        <v>34.429191580852503</v>
      </c>
      <c r="M117" s="3">
        <v>41.402360815498298</v>
      </c>
      <c r="N117" s="3">
        <v>27.079306349613901</v>
      </c>
      <c r="O117" s="3">
        <v>39.720994490881601</v>
      </c>
      <c r="P117" s="3">
        <v>45.703471946415</v>
      </c>
      <c r="Q117" s="3">
        <v>59.070576744296503</v>
      </c>
      <c r="R117" s="3">
        <v>28.205900566383502</v>
      </c>
      <c r="S117" s="3">
        <v>48.268407812541</v>
      </c>
      <c r="T117" s="3">
        <v>56.182046638441797</v>
      </c>
      <c r="U117" s="3">
        <v>38.756812763362902</v>
      </c>
      <c r="V117" s="3">
        <v>18.6606728091107</v>
      </c>
      <c r="W117" s="3">
        <v>57.204440013131098</v>
      </c>
      <c r="X117">
        <v>36.819545359536498</v>
      </c>
      <c r="Y117" s="3">
        <v>59.787047720117698</v>
      </c>
      <c r="Z117" s="3">
        <v>41.133225801400201</v>
      </c>
      <c r="AA117" s="3">
        <v>81.747034680627806</v>
      </c>
      <c r="AB117" s="3">
        <v>70.186109795008207</v>
      </c>
      <c r="AC117" s="3">
        <v>63.220553616833897</v>
      </c>
      <c r="AD117" s="3">
        <v>36.167965804292301</v>
      </c>
      <c r="AE117" s="3">
        <v>58.969765937995497</v>
      </c>
      <c r="AF117" s="3">
        <v>17.755574888308601</v>
      </c>
      <c r="AG117" s="3">
        <v>46.955658867829399</v>
      </c>
      <c r="AH117" s="3">
        <v>41.726179145573802</v>
      </c>
      <c r="AI117" s="3">
        <v>78.728256299025205</v>
      </c>
    </row>
    <row r="118" spans="1:39" x14ac:dyDescent="0.3">
      <c r="A118" s="3">
        <v>232</v>
      </c>
      <c r="B118">
        <v>19</v>
      </c>
      <c r="C118">
        <v>33.1201829918922</v>
      </c>
      <c r="D118">
        <v>29.574046134764899</v>
      </c>
      <c r="E118">
        <v>34.277128540597197</v>
      </c>
      <c r="F118">
        <v>32.6876100427301</v>
      </c>
      <c r="G118">
        <v>27.4966940964737</v>
      </c>
      <c r="H118">
        <v>31.5775675547163</v>
      </c>
      <c r="I118" s="3">
        <v>18.712964896533101</v>
      </c>
      <c r="J118" s="3">
        <v>25.784132058425602</v>
      </c>
      <c r="K118" s="3">
        <v>17.696573875575901</v>
      </c>
      <c r="L118" s="3">
        <v>21.805533830408201</v>
      </c>
      <c r="M118" s="3">
        <v>26.221951011673902</v>
      </c>
      <c r="N118" s="3">
        <v>17.150525389418299</v>
      </c>
      <c r="O118" s="3">
        <v>25.157066916335701</v>
      </c>
      <c r="P118" s="3">
        <v>28.946034969714901</v>
      </c>
      <c r="Q118" s="3">
        <v>37.412014802554303</v>
      </c>
      <c r="R118" s="3">
        <v>17.864047022727402</v>
      </c>
      <c r="S118" s="3">
        <v>30.570521986352201</v>
      </c>
      <c r="T118" s="3">
        <v>35.582579951500698</v>
      </c>
      <c r="U118" s="3">
        <v>24.546406908625698</v>
      </c>
      <c r="V118" s="3">
        <v>11.8186309134156</v>
      </c>
      <c r="W118" s="3">
        <v>36.230106396889802</v>
      </c>
      <c r="X118" s="3">
        <v>23.319449235453401</v>
      </c>
      <c r="Y118" s="3">
        <v>37.865785774035302</v>
      </c>
      <c r="Z118" s="3">
        <v>26.051493800392301</v>
      </c>
      <c r="AA118" s="3">
        <v>51.7740175517254</v>
      </c>
      <c r="AB118" s="3">
        <v>44.4519712781577</v>
      </c>
      <c r="AC118" s="3">
        <v>40.040375700596599</v>
      </c>
      <c r="AD118" s="3">
        <v>22.9067738744425</v>
      </c>
      <c r="AE118" s="3">
        <v>37.348163123999598</v>
      </c>
      <c r="AF118" s="3">
        <v>11.245391449215299</v>
      </c>
      <c r="AG118" s="3">
        <v>29.739096970315099</v>
      </c>
      <c r="AH118" s="3">
        <v>26.427035831332802</v>
      </c>
      <c r="AI118" s="3">
        <v>49.8620885061571</v>
      </c>
    </row>
    <row r="119" spans="1:39" x14ac:dyDescent="0.3">
      <c r="A119" s="3">
        <v>233</v>
      </c>
      <c r="B119">
        <v>28</v>
      </c>
      <c r="C119">
        <v>48.8081145675324</v>
      </c>
      <c r="D119">
        <v>43.582290486513102</v>
      </c>
      <c r="E119">
        <v>50.513067103049202</v>
      </c>
      <c r="F119">
        <v>48.170646571538597</v>
      </c>
      <c r="G119">
        <v>40.520966055361797</v>
      </c>
      <c r="H119">
        <v>46.534814024396503</v>
      </c>
      <c r="I119" s="3">
        <v>27.576675822264399</v>
      </c>
      <c r="J119" s="3">
        <v>37.997220442196301</v>
      </c>
      <c r="K119" s="3">
        <v>26.0788541814774</v>
      </c>
      <c r="L119" s="3">
        <v>32.134092282470398</v>
      </c>
      <c r="M119" s="3">
        <v>38.642419938585</v>
      </c>
      <c r="N119" s="3">
        <v>25.2741607788446</v>
      </c>
      <c r="O119" s="3">
        <v>37.073135691210197</v>
      </c>
      <c r="P119" s="3">
        <v>42.656812422852198</v>
      </c>
      <c r="Q119" s="3">
        <v>55.1328464705635</v>
      </c>
      <c r="R119" s="3">
        <v>26.325654214128299</v>
      </c>
      <c r="S119" s="3">
        <v>45.050765441360902</v>
      </c>
      <c r="T119" s="3">
        <v>52.436869357403801</v>
      </c>
      <c r="U119" s="3">
        <v>36.173226847457798</v>
      </c>
      <c r="V119" s="3">
        <v>17.416724965355201</v>
      </c>
      <c r="W119" s="3">
        <v>53.3911079784165</v>
      </c>
      <c r="X119" s="3">
        <v>34.365100190295898</v>
      </c>
      <c r="Y119" s="3">
        <v>55.801554811255002</v>
      </c>
      <c r="Z119" s="3">
        <v>38.391224017743198</v>
      </c>
      <c r="AA119" s="3">
        <v>76.297655947132398</v>
      </c>
      <c r="AB119" s="3">
        <v>65.507399025973399</v>
      </c>
      <c r="AC119" s="3">
        <v>59.006176859019398</v>
      </c>
      <c r="AD119" s="3">
        <v>33.756954870835699</v>
      </c>
      <c r="AE119" s="3">
        <v>55.038752584622003</v>
      </c>
      <c r="AF119" s="3">
        <v>16.571961459031701</v>
      </c>
      <c r="AG119" s="3">
        <v>43.825523688012197</v>
      </c>
      <c r="AH119" s="3">
        <v>38.944648831423699</v>
      </c>
      <c r="AI119" s="3">
        <v>73.480111205387104</v>
      </c>
    </row>
    <row r="120" spans="1:39" x14ac:dyDescent="0.3">
      <c r="A120" s="3">
        <v>234</v>
      </c>
      <c r="B120">
        <v>9</v>
      </c>
      <c r="C120">
        <v>15.688774030950499</v>
      </c>
      <c r="D120">
        <v>14.008996367900201</v>
      </c>
      <c r="E120">
        <v>16.236809922589199</v>
      </c>
      <c r="F120">
        <v>15.483867208090199</v>
      </c>
      <c r="G120">
        <v>13.0249705030621</v>
      </c>
      <c r="H120">
        <v>14.958048473972701</v>
      </c>
      <c r="I120" s="3">
        <v>8.8641860506872092</v>
      </c>
      <c r="J120" s="3">
        <v>12.213742927844001</v>
      </c>
      <c r="K120" s="3">
        <v>8.3827294303912403</v>
      </c>
      <c r="L120" s="3">
        <v>10.329111763207001</v>
      </c>
      <c r="M120" s="3">
        <v>12.4211341623165</v>
      </c>
      <c r="N120" s="3">
        <v>8.1240703767107707</v>
      </c>
      <c r="O120" s="3">
        <v>11.9167067242825</v>
      </c>
      <c r="P120" s="3">
        <v>13.711511304743601</v>
      </c>
      <c r="Q120" s="3">
        <v>17.721779883061</v>
      </c>
      <c r="R120" s="3">
        <v>8.4620597926372305</v>
      </c>
      <c r="S120" s="3">
        <v>14.481017849344999</v>
      </c>
      <c r="T120" s="3">
        <v>16.855190490674602</v>
      </c>
      <c r="U120" s="3">
        <v>11.6274413271789</v>
      </c>
      <c r="V120" s="3">
        <v>5.59839316572873</v>
      </c>
      <c r="W120" s="3">
        <v>17.161918409494</v>
      </c>
      <c r="X120" s="3">
        <v>11.046240856885101</v>
      </c>
      <c r="Y120" s="3">
        <v>17.9367266887607</v>
      </c>
      <c r="Z120" s="3">
        <v>12.3403888280125</v>
      </c>
      <c r="AA120" s="3">
        <v>24.524946958178901</v>
      </c>
      <c r="AB120" s="3">
        <v>21.056550665362099</v>
      </c>
      <c r="AC120" s="3">
        <v>18.9668121798511</v>
      </c>
      <c r="AD120" s="3">
        <v>10.850759159397001</v>
      </c>
      <c r="AE120" s="3">
        <v>17.691531902784501</v>
      </c>
      <c r="AF120" s="3">
        <v>5.3268536679567102</v>
      </c>
      <c r="AG120" s="3">
        <v>14.087176782383599</v>
      </c>
      <c r="AH120" s="3">
        <v>12.518279327588401</v>
      </c>
      <c r="AI120" s="3">
        <v>23.6192795754753</v>
      </c>
    </row>
    <row r="121" spans="1:39" x14ac:dyDescent="0.3">
      <c r="A121" s="1"/>
    </row>
    <row r="122" spans="1:39" x14ac:dyDescent="0.3">
      <c r="A122" t="s">
        <v>2</v>
      </c>
      <c r="B122">
        <f>raw_data!B120</f>
        <v>46404</v>
      </c>
      <c r="C122">
        <f>raw_data!C120</f>
        <v>84383</v>
      </c>
      <c r="D122">
        <f>raw_data!D120</f>
        <v>61375</v>
      </c>
      <c r="E122">
        <f>raw_data!E120</f>
        <v>69737</v>
      </c>
      <c r="F122">
        <f>raw_data!F120</f>
        <v>76733</v>
      </c>
      <c r="G122">
        <f>raw_data!G120</f>
        <v>62110</v>
      </c>
      <c r="H122">
        <f>raw_data!H120</f>
        <v>72474</v>
      </c>
      <c r="I122">
        <f>raw_data!I120</f>
        <v>42463</v>
      </c>
      <c r="J122">
        <f>raw_data!J120</f>
        <v>61269</v>
      </c>
      <c r="K122">
        <f>raw_data!K120</f>
        <v>42050</v>
      </c>
      <c r="L122">
        <f>raw_data!L120</f>
        <v>50546</v>
      </c>
      <c r="M122">
        <f>raw_data!M120</f>
        <v>61544</v>
      </c>
      <c r="N122">
        <f>raw_data!N120</f>
        <v>41554</v>
      </c>
      <c r="O122">
        <f>raw_data!O120</f>
        <v>60334</v>
      </c>
      <c r="P122">
        <f>raw_data!P120</f>
        <v>68773</v>
      </c>
      <c r="Q122">
        <f>raw_data!Q120</f>
        <v>89720</v>
      </c>
      <c r="R122">
        <f>raw_data!R120</f>
        <v>43278</v>
      </c>
      <c r="S122">
        <f>raw_data!S120</f>
        <v>66476</v>
      </c>
      <c r="T122">
        <f>raw_data!T120</f>
        <v>90351</v>
      </c>
      <c r="U122">
        <f>raw_data!U120</f>
        <v>61799</v>
      </c>
      <c r="V122">
        <f>raw_data!V120</f>
        <v>22520</v>
      </c>
      <c r="W122">
        <f>raw_data!W120</f>
        <v>83959</v>
      </c>
      <c r="X122">
        <f>raw_data!X120</f>
        <v>53499</v>
      </c>
      <c r="Y122">
        <f>raw_data!Y120</f>
        <v>89943</v>
      </c>
      <c r="Z122">
        <f>raw_data!Z120</f>
        <v>62459</v>
      </c>
      <c r="AA122">
        <f>raw_data!AA120</f>
        <v>118767</v>
      </c>
      <c r="AB122">
        <f>raw_data!AB120</f>
        <v>102994</v>
      </c>
      <c r="AC122">
        <f>raw_data!AC120</f>
        <v>95093</v>
      </c>
      <c r="AD122">
        <f>raw_data!AD120</f>
        <v>56738</v>
      </c>
      <c r="AE122">
        <f>raw_data!AE120</f>
        <v>91092</v>
      </c>
      <c r="AF122">
        <f>raw_data!AF120</f>
        <v>26704</v>
      </c>
      <c r="AG122">
        <f>raw_data!AG120</f>
        <v>72530</v>
      </c>
      <c r="AH122">
        <f>raw_data!AH120</f>
        <v>63343</v>
      </c>
      <c r="AI122">
        <f>raw_data!AI120</f>
        <v>118209</v>
      </c>
    </row>
    <row r="123" spans="1:39" x14ac:dyDescent="0.3">
      <c r="A123" t="s">
        <v>1</v>
      </c>
      <c r="B123" s="3">
        <f>SUM(B7:B120)</f>
        <v>47252.758102059975</v>
      </c>
      <c r="C123" s="3">
        <f t="shared" ref="C123:AI123" si="0">SUM(C7:C120)</f>
        <v>84606.074460488657</v>
      </c>
      <c r="D123" s="3">
        <f t="shared" si="0"/>
        <v>75544.83058251426</v>
      </c>
      <c r="E123" s="3">
        <f t="shared" si="0"/>
        <v>87555.86222351015</v>
      </c>
      <c r="F123" s="3">
        <f t="shared" si="0"/>
        <v>83492.732054091044</v>
      </c>
      <c r="G123" s="3">
        <f t="shared" si="0"/>
        <v>70231.415800211762</v>
      </c>
      <c r="H123" s="3">
        <f t="shared" si="0"/>
        <v>80652.415743313933</v>
      </c>
      <c r="I123" s="3">
        <f t="shared" si="0"/>
        <v>47793.328319560664</v>
      </c>
      <c r="J123" s="3">
        <f t="shared" si="0"/>
        <v>65851.986931492502</v>
      </c>
      <c r="K123" s="3">
        <f t="shared" si="0"/>
        <v>45195.388447855788</v>
      </c>
      <c r="L123" s="3">
        <f t="shared" si="0"/>
        <v>55688.280988655315</v>
      </c>
      <c r="M123" s="3">
        <f t="shared" si="0"/>
        <v>66965.703477425792</v>
      </c>
      <c r="N123" s="3">
        <f t="shared" si="0"/>
        <v>43797.89742917625</v>
      </c>
      <c r="O123" s="3">
        <f t="shared" si="0"/>
        <v>64243.361794567289</v>
      </c>
      <c r="P123" s="3">
        <f t="shared" si="0"/>
        <v>73917.3224171115</v>
      </c>
      <c r="Q123" s="3">
        <f t="shared" si="0"/>
        <v>95533.452100894283</v>
      </c>
      <c r="R123" s="3">
        <f t="shared" si="0"/>
        <v>45615.006464009268</v>
      </c>
      <c r="S123" s="3">
        <f t="shared" si="0"/>
        <v>78058.98168398194</v>
      </c>
      <c r="T123" s="3">
        <f t="shared" si="0"/>
        <v>90853.992988049358</v>
      </c>
      <c r="U123" s="3">
        <f t="shared" si="0"/>
        <v>62672.769791481674</v>
      </c>
      <c r="V123" s="3">
        <f t="shared" si="0"/>
        <v>30175.006003244052</v>
      </c>
      <c r="W123" s="3">
        <f t="shared" si="0"/>
        <v>92500.616334737177</v>
      </c>
      <c r="X123" s="3">
        <f t="shared" si="0"/>
        <v>59535.696787244247</v>
      </c>
      <c r="Y123" s="3">
        <f t="shared" si="0"/>
        <v>96670.937109064893</v>
      </c>
      <c r="Z123" s="3">
        <f t="shared" si="0"/>
        <v>66506.645626329977</v>
      </c>
      <c r="AA123" s="3">
        <f t="shared" si="0"/>
        <v>132170.007933149</v>
      </c>
      <c r="AB123" s="3">
        <f t="shared" si="0"/>
        <v>113472.21029352421</v>
      </c>
      <c r="AC123" s="3">
        <f t="shared" si="0"/>
        <v>102206.21458724827</v>
      </c>
      <c r="AD123" s="3">
        <f t="shared" si="0"/>
        <v>58469.005650177387</v>
      </c>
      <c r="AE123" s="3">
        <f t="shared" si="0"/>
        <v>95328.135566398312</v>
      </c>
      <c r="AF123" s="3">
        <f t="shared" si="0"/>
        <v>28701.874349801343</v>
      </c>
      <c r="AG123" s="3">
        <f t="shared" si="0"/>
        <v>75902.939693861219</v>
      </c>
      <c r="AH123" s="3">
        <f t="shared" si="0"/>
        <v>67447.587668739143</v>
      </c>
      <c r="AI123" s="3">
        <f t="shared" si="0"/>
        <v>127255.63612613527</v>
      </c>
    </row>
    <row r="124" spans="1:39" x14ac:dyDescent="0.3">
      <c r="A124" t="s">
        <v>7</v>
      </c>
      <c r="B124" s="3">
        <f>B123-B122</f>
        <v>848.7581020599755</v>
      </c>
      <c r="C124" s="3">
        <f t="shared" ref="C124:AI124" si="1">C123-C122</f>
        <v>223.07446048865677</v>
      </c>
      <c r="D124" s="3">
        <f t="shared" si="1"/>
        <v>14169.83058251426</v>
      </c>
      <c r="E124" s="3">
        <f t="shared" si="1"/>
        <v>17818.86222351015</v>
      </c>
      <c r="F124" s="3">
        <f t="shared" si="1"/>
        <v>6759.7320540910441</v>
      </c>
      <c r="G124" s="3">
        <f t="shared" si="1"/>
        <v>8121.415800211762</v>
      </c>
      <c r="H124" s="3">
        <f t="shared" si="1"/>
        <v>8178.4157433139335</v>
      </c>
      <c r="I124" s="3">
        <f t="shared" si="1"/>
        <v>5330.3283195606637</v>
      </c>
      <c r="J124" s="3">
        <f t="shared" si="1"/>
        <v>4582.9869314925018</v>
      </c>
      <c r="K124" s="3">
        <f t="shared" si="1"/>
        <v>3145.3884478557884</v>
      </c>
      <c r="L124" s="3">
        <f t="shared" si="1"/>
        <v>5142.280988655315</v>
      </c>
      <c r="M124" s="3">
        <f t="shared" si="1"/>
        <v>5421.7034774257918</v>
      </c>
      <c r="N124" s="3">
        <f t="shared" si="1"/>
        <v>2243.8974291762497</v>
      </c>
      <c r="O124" s="3">
        <f t="shared" si="1"/>
        <v>3909.3617945672886</v>
      </c>
      <c r="P124" s="3">
        <f t="shared" si="1"/>
        <v>5144.3224171114998</v>
      </c>
      <c r="Q124" s="3">
        <f t="shared" si="1"/>
        <v>5813.4521008942829</v>
      </c>
      <c r="R124" s="3">
        <f t="shared" si="1"/>
        <v>2337.0064640092678</v>
      </c>
      <c r="S124" s="3">
        <f t="shared" si="1"/>
        <v>11582.98168398194</v>
      </c>
      <c r="T124" s="3">
        <f t="shared" si="1"/>
        <v>502.99298804935825</v>
      </c>
      <c r="U124" s="3">
        <f t="shared" si="1"/>
        <v>873.76979148167447</v>
      </c>
      <c r="V124" s="3">
        <f>V123-V122</f>
        <v>7655.0060032440524</v>
      </c>
      <c r="W124" s="3">
        <f t="shared" si="1"/>
        <v>8541.6163347371767</v>
      </c>
      <c r="X124" s="3">
        <f t="shared" si="1"/>
        <v>6036.6967872442474</v>
      </c>
      <c r="Y124" s="3">
        <f t="shared" si="1"/>
        <v>6727.9371090648929</v>
      </c>
      <c r="Z124" s="3">
        <f t="shared" si="1"/>
        <v>4047.6456263299769</v>
      </c>
      <c r="AA124" s="3">
        <f t="shared" si="1"/>
        <v>13403.007933148998</v>
      </c>
      <c r="AB124" s="3">
        <f t="shared" si="1"/>
        <v>10478.210293524215</v>
      </c>
      <c r="AC124" s="3">
        <f t="shared" si="1"/>
        <v>7113.2145872482652</v>
      </c>
      <c r="AD124" s="3">
        <f t="shared" si="1"/>
        <v>1731.005650177387</v>
      </c>
      <c r="AE124" s="3">
        <f t="shared" si="1"/>
        <v>4236.1355663983122</v>
      </c>
      <c r="AF124" s="3">
        <f t="shared" si="1"/>
        <v>1997.8743498013428</v>
      </c>
      <c r="AG124" s="3">
        <f t="shared" si="1"/>
        <v>3372.939693861219</v>
      </c>
      <c r="AH124" s="3">
        <f t="shared" si="1"/>
        <v>4104.5876687391428</v>
      </c>
      <c r="AI124" s="3">
        <f t="shared" si="1"/>
        <v>9046.6361261352722</v>
      </c>
    </row>
    <row r="125" spans="1:39" x14ac:dyDescent="0.3">
      <c r="A125" t="s">
        <v>8</v>
      </c>
      <c r="B125" s="4">
        <f>B124/B123</f>
        <v>1.7962085942724557E-2</v>
      </c>
      <c r="C125" s="6">
        <f t="shared" ref="C125:AI125" si="2">C124/C123</f>
        <v>2.6366246384925155E-3</v>
      </c>
      <c r="D125" s="4">
        <f t="shared" si="2"/>
        <v>0.1875685003626712</v>
      </c>
      <c r="E125" s="4">
        <f t="shared" si="2"/>
        <v>0.20351421105331197</v>
      </c>
      <c r="F125" s="4">
        <f t="shared" si="2"/>
        <v>8.0961921927668254E-2</v>
      </c>
      <c r="G125" s="4">
        <f t="shared" si="2"/>
        <v>0.11563793364660141</v>
      </c>
      <c r="H125" s="4">
        <f t="shared" si="2"/>
        <v>0.10140323346721232</v>
      </c>
      <c r="I125" s="4">
        <f t="shared" si="2"/>
        <v>0.11152871136993169</v>
      </c>
      <c r="J125" s="4">
        <f t="shared" si="2"/>
        <v>6.9595271836828551E-2</v>
      </c>
      <c r="K125" s="4">
        <f t="shared" si="2"/>
        <v>6.9595340495519423E-2</v>
      </c>
      <c r="L125" s="4">
        <f t="shared" si="2"/>
        <v>9.2340451121177336E-2</v>
      </c>
      <c r="M125" s="4">
        <f t="shared" si="2"/>
        <v>8.0962391132849879E-2</v>
      </c>
      <c r="N125" s="4">
        <f t="shared" si="2"/>
        <v>5.1232994296239051E-2</v>
      </c>
      <c r="O125" s="4">
        <f t="shared" si="2"/>
        <v>6.0852385139313833E-2</v>
      </c>
      <c r="P125" s="4">
        <f t="shared" si="2"/>
        <v>6.9595627234471019E-2</v>
      </c>
      <c r="Q125" s="4">
        <f t="shared" si="2"/>
        <v>6.0852528334835121E-2</v>
      </c>
      <c r="R125" s="4">
        <f t="shared" si="2"/>
        <v>5.1233281438931529E-2</v>
      </c>
      <c r="S125" s="4">
        <f t="shared" si="2"/>
        <v>0.14838755815282204</v>
      </c>
      <c r="T125" s="4">
        <f t="shared" si="2"/>
        <v>5.5362782802019532E-3</v>
      </c>
      <c r="U125" s="4">
        <f t="shared" si="2"/>
        <v>1.3941777176735455E-2</v>
      </c>
      <c r="V125" s="4">
        <f t="shared" si="2"/>
        <v>0.25368697532060402</v>
      </c>
      <c r="W125" s="4">
        <f t="shared" si="2"/>
        <v>9.2341182936848218E-2</v>
      </c>
      <c r="X125" s="4">
        <f t="shared" si="2"/>
        <v>0.10139625658228012</v>
      </c>
      <c r="Y125" s="4">
        <f t="shared" si="2"/>
        <v>6.9596274850158762E-2</v>
      </c>
      <c r="Z125" s="4">
        <f t="shared" si="2"/>
        <v>6.0860769449594891E-2</v>
      </c>
      <c r="AA125" s="4">
        <f t="shared" si="2"/>
        <v>0.10140733244056534</v>
      </c>
      <c r="AB125" s="4">
        <f t="shared" si="2"/>
        <v>9.2341642649065414E-2</v>
      </c>
      <c r="AC125" s="4">
        <f t="shared" si="2"/>
        <v>6.9596693468928689E-2</v>
      </c>
      <c r="AD125" s="4">
        <f t="shared" si="2"/>
        <v>2.9605525712786521E-2</v>
      </c>
      <c r="AE125" s="4">
        <f t="shared" si="2"/>
        <v>4.4437411276629271E-2</v>
      </c>
      <c r="AF125" s="4">
        <f t="shared" si="2"/>
        <v>6.9607800711982803E-2</v>
      </c>
      <c r="AG125" s="4">
        <f t="shared" si="2"/>
        <v>4.4437537036974749E-2</v>
      </c>
      <c r="AH125" s="4">
        <f t="shared" si="2"/>
        <v>6.0855959577062121E-2</v>
      </c>
      <c r="AI125" s="4">
        <f t="shared" si="2"/>
        <v>7.1090258958497396E-2</v>
      </c>
      <c r="AK125" s="7">
        <f>MIN(B125:AI125)</f>
        <v>2.6366246384925155E-3</v>
      </c>
      <c r="AL125" s="7">
        <f>MAX(B125:AI125)</f>
        <v>0.25368697532060402</v>
      </c>
      <c r="AM125" s="8">
        <f>AVERAGE(B125:AI125)</f>
        <v>8.1076492000603462E-2</v>
      </c>
    </row>
  </sheetData>
  <mergeCells count="1">
    <mergeCell ref="H2:I2"/>
  </mergeCell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2618E-0924-4E9B-A966-FE61798525B4}">
  <dimension ref="A1:AM125"/>
  <sheetViews>
    <sheetView zoomScale="110" zoomScaleNormal="110" workbookViewId="0">
      <pane xSplit="1" ySplit="6" topLeftCell="B7" activePane="bottomRight" state="frozen"/>
      <selection pane="topRight" activeCell="B1" sqref="B1"/>
      <selection pane="bottomLeft" activeCell="A6" sqref="A6"/>
      <selection pane="bottomRight" activeCell="I13" sqref="I13"/>
    </sheetView>
  </sheetViews>
  <sheetFormatPr defaultRowHeight="14.4" x14ac:dyDescent="0.3"/>
  <cols>
    <col min="1" max="1" width="17.6640625" customWidth="1"/>
    <col min="8" max="8" width="12" bestFit="1" customWidth="1"/>
    <col min="9" max="9" width="13.6640625" bestFit="1" customWidth="1"/>
  </cols>
  <sheetData>
    <row r="1" spans="1:35" x14ac:dyDescent="0.3">
      <c r="A1" s="5" t="s">
        <v>3</v>
      </c>
    </row>
    <row r="2" spans="1:35" x14ac:dyDescent="0.3">
      <c r="A2" s="9" t="s">
        <v>14</v>
      </c>
      <c r="H2" s="19" t="s">
        <v>13</v>
      </c>
      <c r="I2" s="19"/>
    </row>
    <row r="3" spans="1:35" x14ac:dyDescent="0.3">
      <c r="A3" s="10" t="s">
        <v>12</v>
      </c>
      <c r="H3" s="18">
        <f>(SUM(B16:L16)*SUM(G7:G120))/SUM(B7:L120)</f>
        <v>0</v>
      </c>
      <c r="I3" s="16">
        <f>(SUM(Q92:AA92)*SUM(V7:V120))/SUM(Q7:AA120)</f>
        <v>627.28345972876139</v>
      </c>
    </row>
    <row r="5" spans="1:35" x14ac:dyDescent="0.3">
      <c r="A5" t="s">
        <v>4</v>
      </c>
    </row>
    <row r="6" spans="1:35" x14ac:dyDescent="0.3">
      <c r="A6" t="s">
        <v>0</v>
      </c>
      <c r="B6">
        <v>1988</v>
      </c>
      <c r="C6">
        <v>1989</v>
      </c>
      <c r="D6">
        <v>1990</v>
      </c>
      <c r="E6">
        <v>1991</v>
      </c>
      <c r="F6">
        <v>1992</v>
      </c>
      <c r="G6">
        <v>1993</v>
      </c>
      <c r="H6">
        <v>1994</v>
      </c>
      <c r="I6">
        <v>1995</v>
      </c>
      <c r="J6">
        <v>1996</v>
      </c>
      <c r="K6">
        <v>1997</v>
      </c>
      <c r="L6">
        <v>1998</v>
      </c>
      <c r="M6">
        <v>1999</v>
      </c>
      <c r="N6">
        <v>2000</v>
      </c>
      <c r="O6">
        <v>2001</v>
      </c>
      <c r="P6">
        <v>2002</v>
      </c>
      <c r="Q6">
        <v>2003</v>
      </c>
      <c r="R6">
        <v>2004</v>
      </c>
      <c r="S6">
        <v>2005</v>
      </c>
      <c r="T6">
        <v>2006</v>
      </c>
      <c r="U6">
        <v>2007</v>
      </c>
      <c r="V6">
        <v>2008</v>
      </c>
      <c r="W6">
        <v>2009</v>
      </c>
      <c r="X6">
        <v>2010</v>
      </c>
      <c r="Y6">
        <v>2011</v>
      </c>
      <c r="Z6">
        <v>2012</v>
      </c>
      <c r="AA6">
        <v>2013</v>
      </c>
      <c r="AB6">
        <v>2014</v>
      </c>
      <c r="AC6">
        <v>2015</v>
      </c>
      <c r="AD6">
        <v>2016</v>
      </c>
      <c r="AE6">
        <v>2017</v>
      </c>
      <c r="AF6">
        <v>2018</v>
      </c>
      <c r="AG6">
        <v>2019</v>
      </c>
      <c r="AH6">
        <v>2020</v>
      </c>
      <c r="AI6">
        <v>2021</v>
      </c>
    </row>
    <row r="7" spans="1:35" x14ac:dyDescent="0.3">
      <c r="A7" s="3">
        <v>121</v>
      </c>
      <c r="B7" s="3">
        <v>0</v>
      </c>
      <c r="C7" s="3">
        <v>0</v>
      </c>
      <c r="D7" s="3">
        <v>0</v>
      </c>
      <c r="E7" s="3">
        <v>0</v>
      </c>
      <c r="F7" s="3">
        <v>0</v>
      </c>
      <c r="G7" s="3">
        <v>0</v>
      </c>
      <c r="H7" s="3">
        <v>0</v>
      </c>
      <c r="I7" s="3">
        <v>0</v>
      </c>
      <c r="J7" s="3">
        <v>0</v>
      </c>
      <c r="K7" s="3">
        <v>0</v>
      </c>
      <c r="L7" s="3">
        <v>0</v>
      </c>
      <c r="M7" s="3">
        <v>0</v>
      </c>
      <c r="N7" s="3">
        <v>0</v>
      </c>
      <c r="O7" s="3">
        <v>0</v>
      </c>
      <c r="P7" s="3">
        <v>0</v>
      </c>
      <c r="Q7" s="3">
        <v>0</v>
      </c>
      <c r="R7" s="3">
        <v>0</v>
      </c>
      <c r="S7" s="3">
        <v>0</v>
      </c>
      <c r="T7" s="3">
        <v>0</v>
      </c>
      <c r="U7" s="3">
        <v>0</v>
      </c>
      <c r="V7" s="3">
        <v>0</v>
      </c>
      <c r="W7" s="3">
        <v>0</v>
      </c>
      <c r="X7" s="3">
        <v>0</v>
      </c>
      <c r="Y7" s="3">
        <v>0</v>
      </c>
      <c r="Z7" s="3">
        <v>0</v>
      </c>
      <c r="AA7" s="3">
        <v>0</v>
      </c>
      <c r="AB7">
        <v>0</v>
      </c>
      <c r="AC7" s="3">
        <v>0</v>
      </c>
      <c r="AD7" s="3">
        <v>0</v>
      </c>
      <c r="AE7" s="3">
        <v>0</v>
      </c>
      <c r="AF7" s="3">
        <v>0</v>
      </c>
      <c r="AG7" s="3">
        <v>0</v>
      </c>
      <c r="AH7" s="3">
        <v>0</v>
      </c>
      <c r="AI7" s="3">
        <v>0</v>
      </c>
    </row>
    <row r="8" spans="1:35" x14ac:dyDescent="0.3">
      <c r="A8" s="3">
        <v>122</v>
      </c>
      <c r="B8" s="3">
        <v>0</v>
      </c>
      <c r="C8" s="3">
        <v>0</v>
      </c>
      <c r="D8" s="3">
        <v>0</v>
      </c>
      <c r="E8" s="3">
        <v>0</v>
      </c>
      <c r="F8" s="3">
        <v>0</v>
      </c>
      <c r="G8" s="3">
        <v>0</v>
      </c>
      <c r="H8" s="3">
        <v>0</v>
      </c>
      <c r="I8" s="3">
        <v>0</v>
      </c>
      <c r="J8" s="3">
        <v>0</v>
      </c>
      <c r="K8" s="3">
        <v>0</v>
      </c>
      <c r="L8" s="3">
        <v>0</v>
      </c>
      <c r="M8" s="3">
        <v>0</v>
      </c>
      <c r="N8" s="3">
        <v>0</v>
      </c>
      <c r="O8" s="3">
        <v>0</v>
      </c>
      <c r="P8" s="3">
        <v>0</v>
      </c>
      <c r="Q8" s="3">
        <v>0</v>
      </c>
      <c r="R8" s="3">
        <v>0</v>
      </c>
      <c r="S8" s="3">
        <v>0</v>
      </c>
      <c r="T8" s="3">
        <v>0</v>
      </c>
      <c r="U8" s="3">
        <v>0</v>
      </c>
      <c r="V8" s="3">
        <v>0</v>
      </c>
      <c r="W8" s="3">
        <v>0</v>
      </c>
      <c r="X8" s="3">
        <v>0</v>
      </c>
      <c r="Y8" s="3">
        <v>0</v>
      </c>
      <c r="Z8" s="3">
        <v>0</v>
      </c>
      <c r="AA8" s="3">
        <v>0</v>
      </c>
      <c r="AB8">
        <v>0</v>
      </c>
      <c r="AC8" s="3">
        <v>0</v>
      </c>
      <c r="AD8" s="3">
        <v>0</v>
      </c>
      <c r="AE8" s="3">
        <v>0</v>
      </c>
      <c r="AF8" s="3">
        <v>0</v>
      </c>
      <c r="AG8" s="3">
        <v>0</v>
      </c>
      <c r="AH8" s="3">
        <v>0</v>
      </c>
      <c r="AI8" s="3">
        <v>0</v>
      </c>
    </row>
    <row r="9" spans="1:35" x14ac:dyDescent="0.3">
      <c r="A9" s="3">
        <v>123</v>
      </c>
      <c r="B9" s="3">
        <v>0</v>
      </c>
      <c r="C9" s="3">
        <v>0</v>
      </c>
      <c r="D9" s="3">
        <v>0</v>
      </c>
      <c r="E9" s="3">
        <v>0</v>
      </c>
      <c r="F9" s="3">
        <v>0</v>
      </c>
      <c r="G9" s="3">
        <v>0</v>
      </c>
      <c r="H9" s="3">
        <v>0</v>
      </c>
      <c r="I9" s="3">
        <v>0</v>
      </c>
      <c r="J9" s="3">
        <v>0</v>
      </c>
      <c r="K9" s="3">
        <v>0</v>
      </c>
      <c r="L9" s="3">
        <v>0</v>
      </c>
      <c r="M9" s="3">
        <v>0</v>
      </c>
      <c r="N9" s="3">
        <v>0</v>
      </c>
      <c r="O9" s="3">
        <v>0</v>
      </c>
      <c r="P9" s="3">
        <v>0</v>
      </c>
      <c r="Q9" s="3">
        <v>0</v>
      </c>
      <c r="R9" s="3">
        <v>0</v>
      </c>
      <c r="S9" s="3">
        <v>0</v>
      </c>
      <c r="T9" s="3">
        <v>0</v>
      </c>
      <c r="U9" s="3">
        <v>0</v>
      </c>
      <c r="V9" s="3">
        <v>0</v>
      </c>
      <c r="W9" s="3">
        <v>0</v>
      </c>
      <c r="X9" s="3">
        <v>0</v>
      </c>
      <c r="Y9" s="3">
        <v>0</v>
      </c>
      <c r="Z9" s="3">
        <v>0</v>
      </c>
      <c r="AA9" s="3">
        <v>0</v>
      </c>
      <c r="AB9">
        <v>0</v>
      </c>
      <c r="AC9" s="3">
        <v>0</v>
      </c>
      <c r="AD9" s="3">
        <v>0</v>
      </c>
      <c r="AE9" s="3">
        <v>0</v>
      </c>
      <c r="AF9" s="3">
        <v>0</v>
      </c>
      <c r="AG9" s="3">
        <v>0</v>
      </c>
      <c r="AH9" s="3">
        <v>0</v>
      </c>
      <c r="AI9" s="3">
        <v>0</v>
      </c>
    </row>
    <row r="10" spans="1:35" x14ac:dyDescent="0.3">
      <c r="A10" s="3">
        <v>124</v>
      </c>
      <c r="B10" s="3">
        <v>0</v>
      </c>
      <c r="C10" s="3">
        <v>0</v>
      </c>
      <c r="D10" s="3">
        <v>0</v>
      </c>
      <c r="E10" s="3">
        <v>0</v>
      </c>
      <c r="F10" s="3">
        <v>0</v>
      </c>
      <c r="G10" s="3">
        <v>0</v>
      </c>
      <c r="H10" s="3">
        <v>0</v>
      </c>
      <c r="I10" s="3">
        <v>0</v>
      </c>
      <c r="J10" s="3">
        <v>0</v>
      </c>
      <c r="K10" s="3">
        <v>0</v>
      </c>
      <c r="L10" s="3">
        <v>0</v>
      </c>
      <c r="M10" s="3">
        <v>0</v>
      </c>
      <c r="N10" s="3">
        <v>0</v>
      </c>
      <c r="O10" s="3">
        <v>0</v>
      </c>
      <c r="P10" s="3">
        <v>0</v>
      </c>
      <c r="Q10" s="3">
        <v>0</v>
      </c>
      <c r="R10" s="3">
        <v>0</v>
      </c>
      <c r="S10" s="3">
        <v>0</v>
      </c>
      <c r="T10" s="3">
        <v>0</v>
      </c>
      <c r="U10" s="3">
        <v>0</v>
      </c>
      <c r="V10" s="3">
        <v>0</v>
      </c>
      <c r="W10" s="3">
        <v>0</v>
      </c>
      <c r="X10" s="3">
        <v>0</v>
      </c>
      <c r="Y10" s="3">
        <v>0</v>
      </c>
      <c r="Z10" s="3">
        <v>0</v>
      </c>
      <c r="AA10" s="3">
        <v>0</v>
      </c>
      <c r="AB10">
        <v>0</v>
      </c>
      <c r="AC10" s="3">
        <v>0</v>
      </c>
      <c r="AD10" s="3">
        <v>0</v>
      </c>
      <c r="AE10" s="3">
        <v>0</v>
      </c>
      <c r="AF10" s="3">
        <v>0</v>
      </c>
      <c r="AG10" s="3">
        <v>0</v>
      </c>
      <c r="AH10" s="3">
        <v>0</v>
      </c>
      <c r="AI10" s="3">
        <v>0</v>
      </c>
    </row>
    <row r="11" spans="1:35" x14ac:dyDescent="0.3">
      <c r="A11" s="3">
        <v>125</v>
      </c>
      <c r="B11" s="3">
        <v>0</v>
      </c>
      <c r="C11" s="3">
        <v>0</v>
      </c>
      <c r="D11" s="3">
        <v>0</v>
      </c>
      <c r="E11" s="3">
        <v>0</v>
      </c>
      <c r="F11" s="3">
        <v>0</v>
      </c>
      <c r="G11" s="3">
        <v>0</v>
      </c>
      <c r="H11" s="3">
        <v>0</v>
      </c>
      <c r="I11" s="3">
        <v>0</v>
      </c>
      <c r="J11" s="3">
        <v>0</v>
      </c>
      <c r="K11" s="3">
        <v>0</v>
      </c>
      <c r="L11" s="3">
        <v>0</v>
      </c>
      <c r="M11" s="3">
        <v>0</v>
      </c>
      <c r="N11" s="3">
        <v>0</v>
      </c>
      <c r="O11" s="3">
        <v>0</v>
      </c>
      <c r="P11" s="3">
        <v>0</v>
      </c>
      <c r="Q11" s="3">
        <v>0</v>
      </c>
      <c r="R11" s="3">
        <v>0</v>
      </c>
      <c r="S11" s="3">
        <v>0</v>
      </c>
      <c r="T11" s="3">
        <v>0</v>
      </c>
      <c r="U11" s="3">
        <v>0</v>
      </c>
      <c r="V11" s="3">
        <v>0</v>
      </c>
      <c r="W11" s="3">
        <v>0</v>
      </c>
      <c r="X11" s="3">
        <v>0</v>
      </c>
      <c r="Y11" s="3">
        <v>0</v>
      </c>
      <c r="Z11" s="3">
        <v>0</v>
      </c>
      <c r="AA11" s="3">
        <v>0</v>
      </c>
      <c r="AB11">
        <v>0</v>
      </c>
      <c r="AC11" s="3">
        <v>0</v>
      </c>
      <c r="AD11" s="3">
        <v>0</v>
      </c>
      <c r="AE11" s="3">
        <v>0</v>
      </c>
      <c r="AF11" s="3">
        <v>0</v>
      </c>
      <c r="AG11" s="3">
        <v>0</v>
      </c>
      <c r="AH11" s="3">
        <v>0</v>
      </c>
      <c r="AI11" s="3">
        <v>0</v>
      </c>
    </row>
    <row r="12" spans="1:35" x14ac:dyDescent="0.3">
      <c r="A12" s="3">
        <v>126</v>
      </c>
      <c r="B12" s="3">
        <v>0</v>
      </c>
      <c r="C12" s="3">
        <v>0</v>
      </c>
      <c r="D12" s="3">
        <v>0</v>
      </c>
      <c r="E12" s="3">
        <v>0</v>
      </c>
      <c r="F12" s="3">
        <v>0</v>
      </c>
      <c r="G12" s="3">
        <v>0</v>
      </c>
      <c r="H12" s="3">
        <v>0</v>
      </c>
      <c r="I12" s="3">
        <v>0</v>
      </c>
      <c r="J12" s="3">
        <v>0</v>
      </c>
      <c r="K12" s="3">
        <v>0</v>
      </c>
      <c r="L12" s="3">
        <v>0</v>
      </c>
      <c r="M12" s="3">
        <v>0</v>
      </c>
      <c r="N12" s="3">
        <v>0</v>
      </c>
      <c r="O12" s="3">
        <v>0</v>
      </c>
      <c r="P12" s="3">
        <v>0</v>
      </c>
      <c r="Q12" s="3">
        <v>0</v>
      </c>
      <c r="R12" s="3">
        <v>0</v>
      </c>
      <c r="S12" s="3">
        <v>0</v>
      </c>
      <c r="T12" s="3">
        <v>0</v>
      </c>
      <c r="U12" s="3">
        <v>0</v>
      </c>
      <c r="V12" s="3">
        <v>0</v>
      </c>
      <c r="W12" s="3">
        <v>0</v>
      </c>
      <c r="X12" s="3">
        <v>0</v>
      </c>
      <c r="Y12" s="3">
        <v>0</v>
      </c>
      <c r="Z12" s="3">
        <v>0</v>
      </c>
      <c r="AA12">
        <v>0</v>
      </c>
      <c r="AB12">
        <v>0</v>
      </c>
      <c r="AC12" s="3">
        <v>0</v>
      </c>
      <c r="AD12" s="3">
        <v>0</v>
      </c>
      <c r="AE12" s="3">
        <v>0</v>
      </c>
      <c r="AF12" s="3">
        <v>0</v>
      </c>
      <c r="AG12" s="3">
        <v>0</v>
      </c>
      <c r="AH12" s="3">
        <v>0</v>
      </c>
      <c r="AI12" s="3">
        <v>0</v>
      </c>
    </row>
    <row r="13" spans="1:35" x14ac:dyDescent="0.3">
      <c r="A13" s="3">
        <v>127</v>
      </c>
      <c r="B13" s="3">
        <v>0</v>
      </c>
      <c r="C13" s="3">
        <v>0</v>
      </c>
      <c r="D13" s="3">
        <v>0</v>
      </c>
      <c r="E13" s="3">
        <v>0</v>
      </c>
      <c r="F13">
        <v>0</v>
      </c>
      <c r="G13" s="3">
        <v>0</v>
      </c>
      <c r="H13" s="3">
        <v>0</v>
      </c>
      <c r="I13" s="3">
        <v>0</v>
      </c>
      <c r="J13" s="3">
        <v>0</v>
      </c>
      <c r="K13" s="3">
        <v>0</v>
      </c>
      <c r="L13" s="3">
        <v>0</v>
      </c>
      <c r="M13">
        <v>0</v>
      </c>
      <c r="N13" s="3">
        <v>0</v>
      </c>
      <c r="O13" s="3">
        <v>0</v>
      </c>
      <c r="P13" s="3">
        <v>0</v>
      </c>
      <c r="Q13" s="3">
        <v>0</v>
      </c>
      <c r="R13" s="3">
        <v>0</v>
      </c>
      <c r="S13" s="3">
        <v>0</v>
      </c>
      <c r="T13" s="3">
        <v>0</v>
      </c>
      <c r="U13" s="3">
        <v>0</v>
      </c>
      <c r="V13" s="3">
        <v>0</v>
      </c>
      <c r="W13" s="3">
        <v>0</v>
      </c>
      <c r="X13" s="3">
        <v>0</v>
      </c>
      <c r="Y13" s="3">
        <v>0</v>
      </c>
      <c r="Z13" s="3">
        <v>0</v>
      </c>
      <c r="AA13">
        <v>0</v>
      </c>
      <c r="AB13">
        <v>0</v>
      </c>
      <c r="AC13">
        <v>0</v>
      </c>
      <c r="AD13">
        <v>0</v>
      </c>
      <c r="AE13">
        <v>0</v>
      </c>
      <c r="AF13">
        <v>0</v>
      </c>
      <c r="AG13" s="3">
        <v>0</v>
      </c>
      <c r="AH13" s="3">
        <v>0</v>
      </c>
      <c r="AI13" s="3">
        <v>0</v>
      </c>
    </row>
    <row r="14" spans="1:35" x14ac:dyDescent="0.3">
      <c r="A14" s="3">
        <v>128</v>
      </c>
      <c r="B14" s="3">
        <v>0</v>
      </c>
      <c r="C14" s="3">
        <v>0</v>
      </c>
      <c r="D14">
        <v>0</v>
      </c>
      <c r="E14" s="3">
        <v>0</v>
      </c>
      <c r="F14">
        <v>0</v>
      </c>
      <c r="G14">
        <v>0</v>
      </c>
      <c r="H14" s="3">
        <v>0</v>
      </c>
      <c r="I14" s="3">
        <v>0</v>
      </c>
      <c r="J14" s="3">
        <v>0</v>
      </c>
      <c r="K14" s="3">
        <v>0</v>
      </c>
      <c r="L14" s="3">
        <v>0</v>
      </c>
      <c r="M14">
        <v>0</v>
      </c>
      <c r="N14">
        <v>0</v>
      </c>
      <c r="O14" s="3">
        <v>0</v>
      </c>
      <c r="P14" s="3">
        <v>0</v>
      </c>
      <c r="Q14" s="3">
        <v>0</v>
      </c>
      <c r="R14" s="3">
        <v>0</v>
      </c>
      <c r="S14" s="3">
        <v>0</v>
      </c>
      <c r="T14" s="3">
        <v>0</v>
      </c>
      <c r="U14" s="3">
        <v>0</v>
      </c>
      <c r="V14" s="3">
        <v>0</v>
      </c>
      <c r="W14" s="3">
        <v>0</v>
      </c>
      <c r="X14" s="3">
        <v>0</v>
      </c>
      <c r="Y14" s="3">
        <v>0</v>
      </c>
      <c r="Z14">
        <v>0</v>
      </c>
      <c r="AA14">
        <v>0</v>
      </c>
      <c r="AB14">
        <v>0</v>
      </c>
      <c r="AC14">
        <v>0</v>
      </c>
      <c r="AD14">
        <v>0</v>
      </c>
      <c r="AE14">
        <v>0</v>
      </c>
      <c r="AF14">
        <v>0</v>
      </c>
      <c r="AG14" s="3">
        <v>0</v>
      </c>
      <c r="AH14" s="3">
        <v>0</v>
      </c>
      <c r="AI14" s="3">
        <v>0</v>
      </c>
    </row>
    <row r="15" spans="1:35" x14ac:dyDescent="0.3">
      <c r="A15" s="3">
        <v>129</v>
      </c>
      <c r="B15" s="3">
        <v>0</v>
      </c>
      <c r="C15">
        <v>0</v>
      </c>
      <c r="D15">
        <v>0</v>
      </c>
      <c r="E15" s="3">
        <v>0</v>
      </c>
      <c r="F15">
        <v>0</v>
      </c>
      <c r="G15">
        <v>0</v>
      </c>
      <c r="H15">
        <v>0</v>
      </c>
      <c r="I15" s="3">
        <v>0</v>
      </c>
      <c r="J15" s="3">
        <v>0</v>
      </c>
      <c r="K15">
        <v>0</v>
      </c>
      <c r="L15">
        <v>0</v>
      </c>
      <c r="M15">
        <v>0</v>
      </c>
      <c r="N15">
        <v>0</v>
      </c>
      <c r="O15" s="3">
        <v>0</v>
      </c>
      <c r="P15" s="3">
        <v>0</v>
      </c>
      <c r="Q15" s="3">
        <v>0</v>
      </c>
      <c r="R15">
        <v>0</v>
      </c>
      <c r="S15" s="3">
        <v>0</v>
      </c>
      <c r="T15">
        <v>0</v>
      </c>
      <c r="U15">
        <v>0</v>
      </c>
      <c r="V15" s="3">
        <v>0</v>
      </c>
      <c r="W15" s="3">
        <v>0</v>
      </c>
      <c r="X15" s="3">
        <v>0</v>
      </c>
      <c r="Y15" s="3">
        <v>0</v>
      </c>
      <c r="Z15">
        <v>0</v>
      </c>
      <c r="AA15">
        <v>0</v>
      </c>
      <c r="AB15">
        <v>0</v>
      </c>
      <c r="AC15">
        <v>0</v>
      </c>
      <c r="AD15">
        <v>0</v>
      </c>
      <c r="AE15">
        <v>0</v>
      </c>
      <c r="AF15">
        <v>0</v>
      </c>
      <c r="AG15" s="3">
        <v>0</v>
      </c>
      <c r="AH15" s="3">
        <v>0</v>
      </c>
      <c r="AI15" s="3">
        <v>0</v>
      </c>
    </row>
    <row r="16" spans="1:35" x14ac:dyDescent="0.3">
      <c r="A16" s="3">
        <v>130</v>
      </c>
      <c r="B16" s="3">
        <v>0</v>
      </c>
      <c r="C16">
        <v>0</v>
      </c>
      <c r="D16">
        <v>0</v>
      </c>
      <c r="E16" s="3">
        <v>0</v>
      </c>
      <c r="F16">
        <v>0</v>
      </c>
      <c r="G16" s="15">
        <v>0</v>
      </c>
      <c r="H16">
        <v>0</v>
      </c>
      <c r="I16" s="3">
        <v>0</v>
      </c>
      <c r="J16" s="3">
        <v>0</v>
      </c>
      <c r="K16">
        <v>0</v>
      </c>
      <c r="L16">
        <v>0</v>
      </c>
      <c r="M16">
        <v>0</v>
      </c>
      <c r="N16">
        <v>0</v>
      </c>
      <c r="O16" s="3">
        <v>0</v>
      </c>
      <c r="P16" s="3">
        <v>0</v>
      </c>
      <c r="Q16" s="3">
        <v>0</v>
      </c>
      <c r="R16">
        <v>0</v>
      </c>
      <c r="S16" s="3">
        <v>0</v>
      </c>
      <c r="T16">
        <v>0</v>
      </c>
      <c r="U16">
        <v>0</v>
      </c>
      <c r="V16">
        <v>1.0985719222064601E-2</v>
      </c>
      <c r="W16" s="3">
        <v>0</v>
      </c>
      <c r="X16" s="3">
        <v>0</v>
      </c>
      <c r="Y16">
        <v>0</v>
      </c>
      <c r="Z16">
        <v>9.5840930879705799E-2</v>
      </c>
      <c r="AA16">
        <v>0.20435247822522001</v>
      </c>
      <c r="AB16">
        <v>1</v>
      </c>
      <c r="AC16">
        <v>0</v>
      </c>
      <c r="AD16">
        <v>0</v>
      </c>
      <c r="AE16">
        <v>0</v>
      </c>
      <c r="AF16">
        <v>4.51817685374689E-2</v>
      </c>
      <c r="AG16" s="3">
        <v>0</v>
      </c>
      <c r="AH16" s="3">
        <v>6.2838542621173098E-3</v>
      </c>
      <c r="AI16" s="3">
        <v>0</v>
      </c>
    </row>
    <row r="17" spans="1:35" x14ac:dyDescent="0.3">
      <c r="A17" s="3">
        <v>131</v>
      </c>
      <c r="B17" s="3">
        <v>0</v>
      </c>
      <c r="C17">
        <v>0</v>
      </c>
      <c r="D17">
        <v>0</v>
      </c>
      <c r="E17" s="3">
        <v>0</v>
      </c>
      <c r="F17">
        <v>0</v>
      </c>
      <c r="G17">
        <v>0</v>
      </c>
      <c r="H17">
        <v>0</v>
      </c>
      <c r="I17">
        <v>0</v>
      </c>
      <c r="J17">
        <v>0</v>
      </c>
      <c r="K17">
        <v>0</v>
      </c>
      <c r="L17">
        <v>0</v>
      </c>
      <c r="M17">
        <v>0</v>
      </c>
      <c r="N17">
        <v>0</v>
      </c>
      <c r="O17" s="3">
        <v>0</v>
      </c>
      <c r="P17" s="3">
        <v>0</v>
      </c>
      <c r="Q17">
        <v>0</v>
      </c>
      <c r="R17">
        <v>0</v>
      </c>
      <c r="S17">
        <v>0</v>
      </c>
      <c r="T17">
        <v>0</v>
      </c>
      <c r="U17">
        <v>0</v>
      </c>
      <c r="V17">
        <v>0</v>
      </c>
      <c r="W17">
        <v>0</v>
      </c>
      <c r="X17" s="3">
        <v>0</v>
      </c>
      <c r="Y17">
        <v>0</v>
      </c>
      <c r="Z17">
        <v>0.18961062659809899</v>
      </c>
      <c r="AA17">
        <v>0.40441150307324197</v>
      </c>
      <c r="AB17">
        <v>2</v>
      </c>
      <c r="AC17">
        <v>0</v>
      </c>
      <c r="AD17">
        <v>0</v>
      </c>
      <c r="AE17">
        <v>0</v>
      </c>
      <c r="AF17">
        <v>9.0202466449444699E-2</v>
      </c>
      <c r="AG17" s="3">
        <v>0</v>
      </c>
      <c r="AH17" s="3">
        <v>1.2545306918312399E-2</v>
      </c>
      <c r="AI17">
        <v>0</v>
      </c>
    </row>
    <row r="18" spans="1:35" x14ac:dyDescent="0.3">
      <c r="A18" s="3">
        <v>132</v>
      </c>
      <c r="B18" s="3">
        <v>0</v>
      </c>
      <c r="C18">
        <v>0</v>
      </c>
      <c r="D18">
        <v>0</v>
      </c>
      <c r="E18">
        <v>0</v>
      </c>
      <c r="F18">
        <v>0</v>
      </c>
      <c r="G18">
        <v>0</v>
      </c>
      <c r="H18">
        <v>0</v>
      </c>
      <c r="I18">
        <v>0</v>
      </c>
      <c r="J18">
        <v>0</v>
      </c>
      <c r="K18">
        <v>0</v>
      </c>
      <c r="L18">
        <v>0</v>
      </c>
      <c r="M18">
        <v>0</v>
      </c>
      <c r="N18">
        <v>0</v>
      </c>
      <c r="O18">
        <v>0</v>
      </c>
      <c r="P18" s="3">
        <v>0</v>
      </c>
      <c r="Q18">
        <v>0</v>
      </c>
      <c r="R18">
        <v>0</v>
      </c>
      <c r="S18">
        <v>0</v>
      </c>
      <c r="T18">
        <v>0</v>
      </c>
      <c r="U18">
        <v>0</v>
      </c>
      <c r="V18">
        <v>0</v>
      </c>
      <c r="W18">
        <v>0</v>
      </c>
      <c r="X18" s="3">
        <v>0</v>
      </c>
      <c r="Y18">
        <v>0</v>
      </c>
      <c r="Z18">
        <v>9.4805313299160004E-2</v>
      </c>
      <c r="AA18">
        <v>0.20220575153689599</v>
      </c>
      <c r="AB18">
        <v>1</v>
      </c>
      <c r="AC18">
        <v>0</v>
      </c>
      <c r="AD18">
        <v>0</v>
      </c>
      <c r="AE18">
        <v>0</v>
      </c>
      <c r="AF18">
        <v>4.5101233224766703E-2</v>
      </c>
      <c r="AG18">
        <v>0</v>
      </c>
      <c r="AH18" s="3">
        <v>6.2726534591628098E-3</v>
      </c>
      <c r="AI18">
        <v>0</v>
      </c>
    </row>
    <row r="19" spans="1:35" x14ac:dyDescent="0.3">
      <c r="A19" s="3">
        <v>133</v>
      </c>
      <c r="B19" s="3">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s="3">
        <v>0</v>
      </c>
      <c r="Y19">
        <v>0</v>
      </c>
      <c r="Z19">
        <v>0</v>
      </c>
      <c r="AA19">
        <v>0</v>
      </c>
      <c r="AB19">
        <v>0</v>
      </c>
      <c r="AC19">
        <v>0</v>
      </c>
      <c r="AD19">
        <v>0</v>
      </c>
      <c r="AE19">
        <v>0</v>
      </c>
      <c r="AF19">
        <v>0</v>
      </c>
      <c r="AG19">
        <v>0</v>
      </c>
      <c r="AH19">
        <v>0</v>
      </c>
      <c r="AI19">
        <v>0</v>
      </c>
    </row>
    <row r="20" spans="1:35" x14ac:dyDescent="0.3">
      <c r="A20" s="3">
        <v>134</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9.4801969642258996E-2</v>
      </c>
      <c r="AA20">
        <v>0.20216335129367399</v>
      </c>
      <c r="AB20">
        <v>1</v>
      </c>
      <c r="AC20">
        <v>0</v>
      </c>
      <c r="AD20">
        <v>0</v>
      </c>
      <c r="AE20">
        <v>0</v>
      </c>
      <c r="AF20">
        <v>4.4865551260149801E-2</v>
      </c>
      <c r="AG20">
        <v>0</v>
      </c>
      <c r="AH20">
        <v>0</v>
      </c>
      <c r="AI20">
        <v>0</v>
      </c>
    </row>
    <row r="21" spans="1:35" x14ac:dyDescent="0.3">
      <c r="A21" s="3">
        <v>135</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3</v>
      </c>
      <c r="Z21">
        <v>0.28280674705009801</v>
      </c>
      <c r="AA21">
        <v>0.58621141472756999</v>
      </c>
      <c r="AB21">
        <v>0</v>
      </c>
      <c r="AC21">
        <v>0</v>
      </c>
      <c r="AD21">
        <v>0</v>
      </c>
      <c r="AE21">
        <v>0</v>
      </c>
      <c r="AF21">
        <v>2.1877807123430799E-2</v>
      </c>
      <c r="AG21">
        <v>0</v>
      </c>
      <c r="AH21">
        <v>0</v>
      </c>
      <c r="AI21">
        <v>0</v>
      </c>
    </row>
    <row r="22" spans="1:35" x14ac:dyDescent="0.3">
      <c r="A22" s="3">
        <v>136</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5</v>
      </c>
      <c r="X22">
        <v>0</v>
      </c>
      <c r="Y22">
        <v>0</v>
      </c>
      <c r="Z22">
        <v>0.47134457841762301</v>
      </c>
      <c r="AA22">
        <v>0.97701902454766398</v>
      </c>
      <c r="AB22">
        <v>0</v>
      </c>
      <c r="AC22">
        <v>0</v>
      </c>
      <c r="AD22">
        <v>0</v>
      </c>
      <c r="AE22">
        <v>0</v>
      </c>
      <c r="AF22">
        <v>3.6463011872446702E-2</v>
      </c>
      <c r="AG22">
        <v>0</v>
      </c>
      <c r="AH22">
        <v>0</v>
      </c>
      <c r="AI22">
        <v>0</v>
      </c>
    </row>
    <row r="23" spans="1:35" x14ac:dyDescent="0.3">
      <c r="A23" s="3">
        <v>137</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0.18960393928548999</v>
      </c>
      <c r="AA23">
        <v>0.40432670258959302</v>
      </c>
      <c r="AB23">
        <v>2</v>
      </c>
      <c r="AC23">
        <v>0</v>
      </c>
      <c r="AD23">
        <v>0</v>
      </c>
      <c r="AE23">
        <v>0</v>
      </c>
      <c r="AF23">
        <v>8.9731102520439199E-2</v>
      </c>
      <c r="AG23">
        <v>0</v>
      </c>
      <c r="AH23">
        <v>0</v>
      </c>
      <c r="AI23">
        <v>0</v>
      </c>
    </row>
    <row r="24" spans="1:35" x14ac:dyDescent="0.3">
      <c r="A24" s="3">
        <v>138</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row>
    <row r="25" spans="1:35" x14ac:dyDescent="0.3">
      <c r="A25" s="3">
        <v>139</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row>
    <row r="26" spans="1:35" x14ac:dyDescent="0.3">
      <c r="A26" s="3">
        <v>140</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0.18523454701220601</v>
      </c>
      <c r="AB26">
        <v>0</v>
      </c>
      <c r="AC26">
        <v>0</v>
      </c>
      <c r="AD26">
        <v>1</v>
      </c>
      <c r="AE26">
        <v>0</v>
      </c>
      <c r="AF26">
        <v>4.4233756824858098E-2</v>
      </c>
      <c r="AG26">
        <v>0</v>
      </c>
      <c r="AH26">
        <v>0</v>
      </c>
      <c r="AI26">
        <v>0</v>
      </c>
    </row>
    <row r="27" spans="1:35" x14ac:dyDescent="0.3">
      <c r="A27" s="3">
        <v>141</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0.74093818804922496</v>
      </c>
      <c r="AB27">
        <v>4</v>
      </c>
      <c r="AC27">
        <v>0</v>
      </c>
      <c r="AD27">
        <v>0</v>
      </c>
      <c r="AE27">
        <v>0</v>
      </c>
      <c r="AF27">
        <v>0.17693502729945301</v>
      </c>
      <c r="AG27">
        <v>0</v>
      </c>
      <c r="AH27">
        <v>0</v>
      </c>
      <c r="AI27">
        <v>0</v>
      </c>
    </row>
    <row r="28" spans="1:35" x14ac:dyDescent="0.3">
      <c r="A28" s="3">
        <v>142</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0.37046909402543698</v>
      </c>
      <c r="AB28">
        <v>0</v>
      </c>
      <c r="AC28">
        <v>2</v>
      </c>
      <c r="AD28">
        <v>0</v>
      </c>
      <c r="AE28">
        <v>0</v>
      </c>
      <c r="AF28">
        <v>8.8467513649884699E-2</v>
      </c>
      <c r="AG28">
        <v>0</v>
      </c>
      <c r="AH28">
        <v>0</v>
      </c>
      <c r="AI28">
        <v>0</v>
      </c>
    </row>
    <row r="29" spans="1:35" x14ac:dyDescent="0.3">
      <c r="A29" s="3">
        <v>143</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row>
    <row r="30" spans="1:35" x14ac:dyDescent="0.3">
      <c r="A30" s="3">
        <v>144</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1</v>
      </c>
      <c r="AD30">
        <v>0</v>
      </c>
      <c r="AE30">
        <v>0</v>
      </c>
      <c r="AF30">
        <v>0</v>
      </c>
      <c r="AG30">
        <v>0</v>
      </c>
      <c r="AH30">
        <v>0</v>
      </c>
      <c r="AI30">
        <v>0</v>
      </c>
    </row>
    <row r="31" spans="1:35" x14ac:dyDescent="0.3">
      <c r="A31" s="3">
        <v>145</v>
      </c>
      <c r="B31">
        <v>4.6050539913488703E-2</v>
      </c>
      <c r="C31" s="11">
        <v>7.1088783057177501E-2</v>
      </c>
      <c r="D31">
        <v>0</v>
      </c>
      <c r="E31">
        <v>0</v>
      </c>
      <c r="F31">
        <v>0</v>
      </c>
      <c r="G31">
        <v>0.315089311254448</v>
      </c>
      <c r="H31">
        <v>0</v>
      </c>
      <c r="I31">
        <v>0</v>
      </c>
      <c r="J31">
        <v>0</v>
      </c>
      <c r="K31">
        <v>0</v>
      </c>
      <c r="L31">
        <v>3</v>
      </c>
      <c r="M31">
        <v>0</v>
      </c>
      <c r="N31">
        <v>0</v>
      </c>
      <c r="O31">
        <v>3</v>
      </c>
      <c r="P31">
        <v>0</v>
      </c>
      <c r="Q31">
        <v>0</v>
      </c>
      <c r="R31">
        <v>0</v>
      </c>
      <c r="S31">
        <v>154</v>
      </c>
      <c r="T31">
        <v>0</v>
      </c>
      <c r="U31">
        <v>0</v>
      </c>
      <c r="V31">
        <v>0</v>
      </c>
      <c r="W31">
        <v>0</v>
      </c>
      <c r="X31">
        <v>0</v>
      </c>
      <c r="Y31">
        <v>0</v>
      </c>
      <c r="Z31">
        <v>0</v>
      </c>
      <c r="AA31">
        <v>0</v>
      </c>
      <c r="AB31">
        <v>0</v>
      </c>
      <c r="AC31">
        <v>0</v>
      </c>
      <c r="AD31">
        <v>0</v>
      </c>
      <c r="AE31">
        <v>3</v>
      </c>
      <c r="AF31">
        <v>0</v>
      </c>
      <c r="AG31">
        <v>0</v>
      </c>
      <c r="AH31">
        <v>0</v>
      </c>
      <c r="AI31">
        <v>0</v>
      </c>
    </row>
    <row r="32" spans="1:35" x14ac:dyDescent="0.3">
      <c r="A32" s="3">
        <v>146</v>
      </c>
      <c r="B32">
        <v>9.7606965823067396E-2</v>
      </c>
      <c r="C32">
        <v>0</v>
      </c>
      <c r="D32">
        <v>0</v>
      </c>
      <c r="E32">
        <v>0</v>
      </c>
      <c r="F32">
        <v>0</v>
      </c>
      <c r="G32">
        <v>0.818529139742733</v>
      </c>
      <c r="H32">
        <v>0</v>
      </c>
      <c r="I32">
        <v>0</v>
      </c>
      <c r="J32">
        <v>0</v>
      </c>
      <c r="K32">
        <v>0</v>
      </c>
      <c r="L32">
        <v>8</v>
      </c>
      <c r="M32">
        <v>0</v>
      </c>
      <c r="N32">
        <v>0</v>
      </c>
      <c r="O32">
        <v>2</v>
      </c>
      <c r="P32">
        <v>0</v>
      </c>
      <c r="Q32">
        <v>0</v>
      </c>
      <c r="R32">
        <v>0</v>
      </c>
      <c r="S32">
        <v>57</v>
      </c>
      <c r="T32">
        <v>0</v>
      </c>
      <c r="U32">
        <v>0</v>
      </c>
      <c r="V32">
        <v>0</v>
      </c>
      <c r="W32">
        <v>0</v>
      </c>
      <c r="X32">
        <v>0</v>
      </c>
      <c r="Y32">
        <v>0</v>
      </c>
      <c r="Z32">
        <v>0</v>
      </c>
      <c r="AA32">
        <v>5</v>
      </c>
      <c r="AB32">
        <v>0</v>
      </c>
      <c r="AC32">
        <v>3</v>
      </c>
      <c r="AD32">
        <v>0</v>
      </c>
      <c r="AE32">
        <v>91</v>
      </c>
      <c r="AF32">
        <v>0</v>
      </c>
      <c r="AG32">
        <v>0</v>
      </c>
      <c r="AH32">
        <v>0</v>
      </c>
      <c r="AI32">
        <v>0</v>
      </c>
    </row>
    <row r="33" spans="1:35" x14ac:dyDescent="0.3">
      <c r="A33" s="3">
        <v>147</v>
      </c>
      <c r="B33">
        <v>0</v>
      </c>
      <c r="C33">
        <v>0</v>
      </c>
      <c r="D33">
        <v>0</v>
      </c>
      <c r="E33">
        <v>0</v>
      </c>
      <c r="F33">
        <v>0</v>
      </c>
      <c r="G33">
        <v>0</v>
      </c>
      <c r="H33">
        <v>0</v>
      </c>
      <c r="I33">
        <v>0</v>
      </c>
      <c r="J33">
        <v>0</v>
      </c>
      <c r="K33">
        <v>0</v>
      </c>
      <c r="L33">
        <v>0</v>
      </c>
      <c r="M33">
        <v>0</v>
      </c>
      <c r="N33">
        <v>0</v>
      </c>
      <c r="O33">
        <v>11</v>
      </c>
      <c r="P33">
        <v>2</v>
      </c>
      <c r="Q33">
        <v>3</v>
      </c>
      <c r="R33">
        <v>0</v>
      </c>
      <c r="S33">
        <v>1028</v>
      </c>
      <c r="T33">
        <v>0</v>
      </c>
      <c r="U33">
        <v>0</v>
      </c>
      <c r="V33">
        <v>0</v>
      </c>
      <c r="W33">
        <v>0</v>
      </c>
      <c r="X33">
        <v>0</v>
      </c>
      <c r="Y33">
        <v>3</v>
      </c>
      <c r="Z33">
        <v>0</v>
      </c>
      <c r="AA33">
        <v>0</v>
      </c>
      <c r="AB33">
        <v>0</v>
      </c>
      <c r="AC33">
        <v>8</v>
      </c>
      <c r="AD33">
        <v>0</v>
      </c>
      <c r="AE33">
        <v>19</v>
      </c>
      <c r="AF33">
        <v>0</v>
      </c>
      <c r="AG33">
        <v>0</v>
      </c>
      <c r="AH33">
        <v>0</v>
      </c>
      <c r="AI33">
        <v>0</v>
      </c>
    </row>
    <row r="34" spans="1:35" x14ac:dyDescent="0.3">
      <c r="A34" s="3">
        <v>148</v>
      </c>
      <c r="B34">
        <v>1.2200870727688801E-2</v>
      </c>
      <c r="C34">
        <v>0</v>
      </c>
      <c r="D34">
        <v>0</v>
      </c>
      <c r="E34">
        <v>0</v>
      </c>
      <c r="F34">
        <v>0</v>
      </c>
      <c r="G34">
        <v>0.10231614246783299</v>
      </c>
      <c r="H34">
        <v>0</v>
      </c>
      <c r="I34">
        <v>1</v>
      </c>
      <c r="J34">
        <v>0</v>
      </c>
      <c r="K34">
        <v>0</v>
      </c>
      <c r="L34">
        <v>0</v>
      </c>
      <c r="M34">
        <v>0</v>
      </c>
      <c r="N34">
        <v>0</v>
      </c>
      <c r="O34">
        <v>0</v>
      </c>
      <c r="P34">
        <v>2</v>
      </c>
      <c r="Q34">
        <v>9</v>
      </c>
      <c r="R34">
        <v>0</v>
      </c>
      <c r="S34">
        <v>101</v>
      </c>
      <c r="T34">
        <v>0</v>
      </c>
      <c r="U34">
        <v>0</v>
      </c>
      <c r="V34">
        <v>0</v>
      </c>
      <c r="W34">
        <v>0</v>
      </c>
      <c r="X34">
        <v>0</v>
      </c>
      <c r="Y34">
        <v>7</v>
      </c>
      <c r="Z34">
        <v>0</v>
      </c>
      <c r="AA34">
        <v>0</v>
      </c>
      <c r="AB34">
        <v>1</v>
      </c>
      <c r="AC34">
        <v>5</v>
      </c>
      <c r="AD34">
        <v>0</v>
      </c>
      <c r="AE34">
        <v>201</v>
      </c>
      <c r="AF34">
        <v>0</v>
      </c>
      <c r="AG34">
        <v>0</v>
      </c>
      <c r="AH34">
        <v>0</v>
      </c>
      <c r="AI34">
        <v>5</v>
      </c>
    </row>
    <row r="35" spans="1:35" x14ac:dyDescent="0.3">
      <c r="A35" s="3">
        <v>149</v>
      </c>
      <c r="B35">
        <v>0.53161032191092905</v>
      </c>
      <c r="C35">
        <v>0</v>
      </c>
      <c r="D35">
        <v>0</v>
      </c>
      <c r="E35">
        <v>0</v>
      </c>
      <c r="F35">
        <v>4</v>
      </c>
      <c r="G35">
        <v>0.45806809544124999</v>
      </c>
      <c r="H35">
        <v>0</v>
      </c>
      <c r="I35">
        <v>0</v>
      </c>
      <c r="J35">
        <v>0</v>
      </c>
      <c r="K35">
        <v>0</v>
      </c>
      <c r="L35">
        <v>0</v>
      </c>
      <c r="M35">
        <v>0</v>
      </c>
      <c r="N35">
        <v>0</v>
      </c>
      <c r="O35">
        <v>6</v>
      </c>
      <c r="P35">
        <v>0</v>
      </c>
      <c r="Q35">
        <v>0</v>
      </c>
      <c r="R35">
        <v>0</v>
      </c>
      <c r="S35">
        <v>727</v>
      </c>
      <c r="T35">
        <v>0</v>
      </c>
      <c r="U35">
        <v>0</v>
      </c>
      <c r="V35">
        <v>0</v>
      </c>
      <c r="W35">
        <v>0</v>
      </c>
      <c r="X35">
        <v>1</v>
      </c>
      <c r="Y35">
        <v>0</v>
      </c>
      <c r="Z35">
        <v>0</v>
      </c>
      <c r="AA35">
        <v>11</v>
      </c>
      <c r="AB35">
        <v>0</v>
      </c>
      <c r="AC35">
        <v>3</v>
      </c>
      <c r="AD35">
        <v>0</v>
      </c>
      <c r="AE35">
        <v>1</v>
      </c>
      <c r="AF35">
        <v>0</v>
      </c>
      <c r="AG35">
        <v>0</v>
      </c>
      <c r="AH35">
        <v>0</v>
      </c>
      <c r="AI35">
        <v>0</v>
      </c>
    </row>
    <row r="36" spans="1:35" x14ac:dyDescent="0.3">
      <c r="A36" s="3">
        <v>150</v>
      </c>
      <c r="B36">
        <v>0.77432073887113795</v>
      </c>
      <c r="C36">
        <v>0</v>
      </c>
      <c r="D36">
        <v>0</v>
      </c>
      <c r="E36">
        <v>0</v>
      </c>
      <c r="F36">
        <v>5</v>
      </c>
      <c r="G36">
        <v>1.49343040151607</v>
      </c>
      <c r="H36">
        <v>7</v>
      </c>
      <c r="I36">
        <v>2</v>
      </c>
      <c r="J36">
        <v>0</v>
      </c>
      <c r="K36">
        <v>0</v>
      </c>
      <c r="L36">
        <v>0</v>
      </c>
      <c r="M36">
        <v>0</v>
      </c>
      <c r="N36">
        <v>1</v>
      </c>
      <c r="O36">
        <v>13</v>
      </c>
      <c r="P36">
        <v>5</v>
      </c>
      <c r="Q36">
        <v>15</v>
      </c>
      <c r="R36">
        <v>3</v>
      </c>
      <c r="S36">
        <v>946</v>
      </c>
      <c r="T36">
        <v>0</v>
      </c>
      <c r="U36">
        <v>1</v>
      </c>
      <c r="V36">
        <v>0</v>
      </c>
      <c r="W36">
        <v>0</v>
      </c>
      <c r="X36">
        <v>0</v>
      </c>
      <c r="Y36">
        <v>0</v>
      </c>
      <c r="Z36">
        <v>0</v>
      </c>
      <c r="AA36">
        <v>425</v>
      </c>
      <c r="AB36">
        <v>0</v>
      </c>
      <c r="AC36">
        <v>3</v>
      </c>
      <c r="AD36">
        <v>0</v>
      </c>
      <c r="AE36">
        <v>7</v>
      </c>
      <c r="AF36">
        <v>1</v>
      </c>
      <c r="AG36">
        <v>0</v>
      </c>
      <c r="AH36">
        <v>0</v>
      </c>
      <c r="AI36">
        <v>0</v>
      </c>
    </row>
    <row r="37" spans="1:35" x14ac:dyDescent="0.3">
      <c r="A37" s="3">
        <v>151</v>
      </c>
      <c r="B37">
        <v>3.6153854086561998</v>
      </c>
      <c r="C37">
        <v>11</v>
      </c>
      <c r="D37">
        <v>0</v>
      </c>
      <c r="E37">
        <v>0</v>
      </c>
      <c r="F37">
        <v>14</v>
      </c>
      <c r="G37">
        <v>5.3185130158787404</v>
      </c>
      <c r="H37">
        <v>14</v>
      </c>
      <c r="I37">
        <v>0</v>
      </c>
      <c r="J37">
        <v>0</v>
      </c>
      <c r="K37">
        <v>0</v>
      </c>
      <c r="L37">
        <v>10</v>
      </c>
      <c r="M37">
        <v>0</v>
      </c>
      <c r="N37">
        <v>1</v>
      </c>
      <c r="O37">
        <v>0</v>
      </c>
      <c r="P37">
        <v>19</v>
      </c>
      <c r="Q37">
        <v>8</v>
      </c>
      <c r="R37">
        <v>4</v>
      </c>
      <c r="S37">
        <v>741</v>
      </c>
      <c r="T37">
        <v>0</v>
      </c>
      <c r="U37">
        <v>0</v>
      </c>
      <c r="V37">
        <v>0</v>
      </c>
      <c r="W37">
        <v>5</v>
      </c>
      <c r="X37">
        <v>0</v>
      </c>
      <c r="Y37">
        <v>5</v>
      </c>
      <c r="Z37">
        <v>1</v>
      </c>
      <c r="AA37">
        <v>68</v>
      </c>
      <c r="AB37">
        <v>0</v>
      </c>
      <c r="AC37">
        <v>1</v>
      </c>
      <c r="AD37">
        <v>0</v>
      </c>
      <c r="AE37">
        <v>69</v>
      </c>
      <c r="AF37">
        <v>0</v>
      </c>
      <c r="AG37">
        <v>0</v>
      </c>
      <c r="AH37">
        <v>0</v>
      </c>
      <c r="AI37">
        <v>0</v>
      </c>
    </row>
    <row r="38" spans="1:35" x14ac:dyDescent="0.3">
      <c r="A38" s="3">
        <v>152</v>
      </c>
      <c r="B38">
        <v>4.2180181689265304</v>
      </c>
      <c r="C38">
        <v>5</v>
      </c>
      <c r="D38">
        <v>5</v>
      </c>
      <c r="E38">
        <v>0</v>
      </c>
      <c r="F38">
        <v>2</v>
      </c>
      <c r="G38">
        <v>23.372174917930501</v>
      </c>
      <c r="H38">
        <v>9</v>
      </c>
      <c r="I38">
        <v>0</v>
      </c>
      <c r="J38">
        <v>0</v>
      </c>
      <c r="K38">
        <v>197</v>
      </c>
      <c r="L38">
        <v>9</v>
      </c>
      <c r="M38">
        <v>0</v>
      </c>
      <c r="N38">
        <v>0</v>
      </c>
      <c r="O38">
        <v>172</v>
      </c>
      <c r="P38">
        <v>28</v>
      </c>
      <c r="Q38">
        <v>1</v>
      </c>
      <c r="R38">
        <v>0</v>
      </c>
      <c r="S38">
        <v>1072</v>
      </c>
      <c r="T38">
        <v>0</v>
      </c>
      <c r="U38">
        <v>0</v>
      </c>
      <c r="V38">
        <v>0</v>
      </c>
      <c r="W38">
        <v>1311</v>
      </c>
      <c r="X38">
        <v>0</v>
      </c>
      <c r="Y38">
        <v>81</v>
      </c>
      <c r="Z38">
        <v>1</v>
      </c>
      <c r="AA38">
        <v>38</v>
      </c>
      <c r="AB38">
        <v>0</v>
      </c>
      <c r="AC38">
        <v>2</v>
      </c>
      <c r="AD38">
        <v>0</v>
      </c>
      <c r="AE38">
        <v>1719</v>
      </c>
      <c r="AF38">
        <v>0</v>
      </c>
      <c r="AG38">
        <v>1</v>
      </c>
      <c r="AH38">
        <v>0</v>
      </c>
      <c r="AI38">
        <v>0</v>
      </c>
    </row>
    <row r="39" spans="1:35" x14ac:dyDescent="0.3">
      <c r="A39" s="3">
        <v>153</v>
      </c>
      <c r="B39">
        <v>5.8812575754043301</v>
      </c>
      <c r="C39">
        <v>6</v>
      </c>
      <c r="D39">
        <v>1</v>
      </c>
      <c r="E39">
        <v>0</v>
      </c>
      <c r="F39">
        <v>2</v>
      </c>
      <c r="G39">
        <v>40.320051925909901</v>
      </c>
      <c r="H39">
        <v>17</v>
      </c>
      <c r="I39">
        <v>0</v>
      </c>
      <c r="J39">
        <v>0</v>
      </c>
      <c r="K39">
        <v>344</v>
      </c>
      <c r="L39">
        <v>23</v>
      </c>
      <c r="M39">
        <v>3</v>
      </c>
      <c r="N39">
        <v>0</v>
      </c>
      <c r="O39">
        <v>5</v>
      </c>
      <c r="P39">
        <v>57</v>
      </c>
      <c r="Q39">
        <v>300</v>
      </c>
      <c r="R39">
        <v>7</v>
      </c>
      <c r="S39">
        <v>688</v>
      </c>
      <c r="T39">
        <v>0</v>
      </c>
      <c r="U39">
        <v>3</v>
      </c>
      <c r="V39">
        <v>0</v>
      </c>
      <c r="W39">
        <v>826</v>
      </c>
      <c r="X39">
        <v>2</v>
      </c>
      <c r="Y39">
        <v>1</v>
      </c>
      <c r="Z39">
        <v>1</v>
      </c>
      <c r="AA39">
        <v>265</v>
      </c>
      <c r="AB39">
        <v>0</v>
      </c>
      <c r="AC39">
        <v>0</v>
      </c>
      <c r="AD39">
        <v>0</v>
      </c>
      <c r="AE39">
        <v>4312</v>
      </c>
      <c r="AF39">
        <v>0</v>
      </c>
      <c r="AG39">
        <v>6</v>
      </c>
      <c r="AH39">
        <v>0</v>
      </c>
      <c r="AI39">
        <v>0</v>
      </c>
    </row>
    <row r="40" spans="1:35" x14ac:dyDescent="0.3">
      <c r="A40" s="3">
        <v>154</v>
      </c>
      <c r="B40">
        <v>5.1361353525427598</v>
      </c>
      <c r="C40">
        <v>7</v>
      </c>
      <c r="D40">
        <v>8</v>
      </c>
      <c r="E40">
        <v>0</v>
      </c>
      <c r="F40">
        <v>4</v>
      </c>
      <c r="G40">
        <v>24.071477943904799</v>
      </c>
      <c r="H40">
        <v>16</v>
      </c>
      <c r="I40">
        <v>0</v>
      </c>
      <c r="J40">
        <v>0</v>
      </c>
      <c r="K40">
        <v>198</v>
      </c>
      <c r="L40">
        <v>0</v>
      </c>
      <c r="M40">
        <v>3</v>
      </c>
      <c r="N40">
        <v>0</v>
      </c>
      <c r="O40">
        <v>11</v>
      </c>
      <c r="P40">
        <v>0</v>
      </c>
      <c r="Q40">
        <v>183</v>
      </c>
      <c r="R40">
        <v>22</v>
      </c>
      <c r="S40">
        <v>1266</v>
      </c>
      <c r="T40">
        <v>0</v>
      </c>
      <c r="U40">
        <v>4</v>
      </c>
      <c r="V40">
        <v>0</v>
      </c>
      <c r="W40">
        <v>368</v>
      </c>
      <c r="X40">
        <v>4</v>
      </c>
      <c r="Y40">
        <v>10</v>
      </c>
      <c r="Z40">
        <v>0</v>
      </c>
      <c r="AA40">
        <v>11</v>
      </c>
      <c r="AB40">
        <v>0</v>
      </c>
      <c r="AC40">
        <v>0</v>
      </c>
      <c r="AD40">
        <v>0</v>
      </c>
      <c r="AE40">
        <v>3435</v>
      </c>
      <c r="AF40">
        <v>2</v>
      </c>
      <c r="AG40">
        <v>0</v>
      </c>
      <c r="AH40">
        <v>1</v>
      </c>
      <c r="AI40">
        <v>0</v>
      </c>
    </row>
    <row r="41" spans="1:35" x14ac:dyDescent="0.3">
      <c r="A41" s="3">
        <v>155</v>
      </c>
      <c r="B41">
        <v>6.86169278652401</v>
      </c>
      <c r="C41">
        <v>33</v>
      </c>
      <c r="D41">
        <v>4</v>
      </c>
      <c r="E41">
        <v>0</v>
      </c>
      <c r="F41">
        <v>6</v>
      </c>
      <c r="G41">
        <v>14.5419494186624</v>
      </c>
      <c r="H41">
        <v>69</v>
      </c>
      <c r="I41">
        <v>11</v>
      </c>
      <c r="J41">
        <v>0</v>
      </c>
      <c r="K41">
        <v>0</v>
      </c>
      <c r="L41">
        <v>14</v>
      </c>
      <c r="M41">
        <v>1</v>
      </c>
      <c r="N41">
        <v>0</v>
      </c>
      <c r="O41">
        <v>0</v>
      </c>
      <c r="P41">
        <v>110</v>
      </c>
      <c r="Q41">
        <v>355</v>
      </c>
      <c r="R41">
        <v>0</v>
      </c>
      <c r="S41">
        <v>332</v>
      </c>
      <c r="T41">
        <v>0</v>
      </c>
      <c r="U41">
        <v>3</v>
      </c>
      <c r="V41">
        <v>0</v>
      </c>
      <c r="W41">
        <v>1370</v>
      </c>
      <c r="X41">
        <v>0</v>
      </c>
      <c r="Y41">
        <v>18</v>
      </c>
      <c r="Z41">
        <v>0</v>
      </c>
      <c r="AA41">
        <v>257</v>
      </c>
      <c r="AB41">
        <v>0</v>
      </c>
      <c r="AC41">
        <v>0</v>
      </c>
      <c r="AD41">
        <v>0</v>
      </c>
      <c r="AE41">
        <v>114</v>
      </c>
      <c r="AF41">
        <v>0</v>
      </c>
      <c r="AG41">
        <v>3</v>
      </c>
      <c r="AH41">
        <v>0</v>
      </c>
      <c r="AI41">
        <v>0</v>
      </c>
    </row>
    <row r="42" spans="1:35" x14ac:dyDescent="0.3">
      <c r="A42" s="3">
        <v>156</v>
      </c>
      <c r="B42">
        <v>12.755595781687299</v>
      </c>
      <c r="C42">
        <v>77</v>
      </c>
      <c r="D42">
        <v>5</v>
      </c>
      <c r="E42">
        <v>0</v>
      </c>
      <c r="F42">
        <v>7</v>
      </c>
      <c r="G42">
        <v>17.9680419506516</v>
      </c>
      <c r="H42">
        <v>40</v>
      </c>
      <c r="I42">
        <v>15</v>
      </c>
      <c r="J42">
        <v>0</v>
      </c>
      <c r="K42">
        <v>0</v>
      </c>
      <c r="L42">
        <v>21</v>
      </c>
      <c r="M42">
        <v>16</v>
      </c>
      <c r="N42">
        <v>4</v>
      </c>
      <c r="O42">
        <v>98</v>
      </c>
      <c r="P42">
        <v>126</v>
      </c>
      <c r="Q42">
        <v>7</v>
      </c>
      <c r="R42">
        <v>61</v>
      </c>
      <c r="S42">
        <v>1753</v>
      </c>
      <c r="T42">
        <v>0</v>
      </c>
      <c r="U42">
        <v>6</v>
      </c>
      <c r="V42">
        <v>0</v>
      </c>
      <c r="W42">
        <v>66</v>
      </c>
      <c r="X42">
        <v>25</v>
      </c>
      <c r="Y42">
        <v>4</v>
      </c>
      <c r="Z42">
        <v>0</v>
      </c>
      <c r="AA42">
        <v>1220</v>
      </c>
      <c r="AB42">
        <v>0</v>
      </c>
      <c r="AC42">
        <v>0</v>
      </c>
      <c r="AD42">
        <v>0</v>
      </c>
      <c r="AE42">
        <v>1429</v>
      </c>
      <c r="AF42">
        <v>0</v>
      </c>
      <c r="AG42">
        <v>1</v>
      </c>
      <c r="AH42">
        <v>0</v>
      </c>
      <c r="AI42">
        <v>0</v>
      </c>
    </row>
    <row r="43" spans="1:35" x14ac:dyDescent="0.3">
      <c r="A43" s="3">
        <v>157</v>
      </c>
      <c r="B43">
        <v>12.3878113844581</v>
      </c>
      <c r="C43">
        <v>0</v>
      </c>
      <c r="D43">
        <v>4</v>
      </c>
      <c r="E43">
        <v>0</v>
      </c>
      <c r="F43">
        <v>21</v>
      </c>
      <c r="G43">
        <v>78.883819466784601</v>
      </c>
      <c r="H43">
        <v>90</v>
      </c>
      <c r="I43">
        <v>6</v>
      </c>
      <c r="J43">
        <v>4</v>
      </c>
      <c r="K43">
        <v>609</v>
      </c>
      <c r="L43">
        <v>34</v>
      </c>
      <c r="M43">
        <v>1</v>
      </c>
      <c r="N43">
        <v>0</v>
      </c>
      <c r="O43">
        <v>562</v>
      </c>
      <c r="P43">
        <v>0</v>
      </c>
      <c r="Q43">
        <v>1146</v>
      </c>
      <c r="R43">
        <v>247</v>
      </c>
      <c r="S43">
        <v>1241</v>
      </c>
      <c r="T43">
        <v>0</v>
      </c>
      <c r="U43">
        <v>256</v>
      </c>
      <c r="V43">
        <v>0</v>
      </c>
      <c r="W43">
        <v>186</v>
      </c>
      <c r="X43">
        <v>34</v>
      </c>
      <c r="Y43">
        <v>9</v>
      </c>
      <c r="Z43">
        <v>0</v>
      </c>
      <c r="AA43">
        <v>534</v>
      </c>
      <c r="AB43">
        <v>0</v>
      </c>
      <c r="AC43">
        <v>0</v>
      </c>
      <c r="AD43">
        <v>0</v>
      </c>
      <c r="AE43">
        <v>3636</v>
      </c>
      <c r="AF43">
        <v>0</v>
      </c>
      <c r="AG43">
        <v>8</v>
      </c>
      <c r="AH43">
        <v>0</v>
      </c>
      <c r="AI43">
        <v>2</v>
      </c>
    </row>
    <row r="44" spans="1:35" x14ac:dyDescent="0.3">
      <c r="A44" s="3">
        <v>158</v>
      </c>
      <c r="B44">
        <v>5.5858293249699598</v>
      </c>
      <c r="C44">
        <v>5</v>
      </c>
      <c r="D44">
        <v>17</v>
      </c>
      <c r="E44">
        <v>0</v>
      </c>
      <c r="F44">
        <v>17</v>
      </c>
      <c r="G44">
        <v>7.8425966297958798</v>
      </c>
      <c r="H44">
        <v>12</v>
      </c>
      <c r="I44">
        <v>0</v>
      </c>
      <c r="J44">
        <v>2</v>
      </c>
      <c r="K44">
        <v>6</v>
      </c>
      <c r="L44">
        <v>13</v>
      </c>
      <c r="M44">
        <v>11</v>
      </c>
      <c r="N44">
        <v>5</v>
      </c>
      <c r="O44">
        <v>709</v>
      </c>
      <c r="P44">
        <v>274</v>
      </c>
      <c r="Q44">
        <v>70</v>
      </c>
      <c r="R44">
        <v>87</v>
      </c>
      <c r="S44">
        <v>910</v>
      </c>
      <c r="T44">
        <v>35</v>
      </c>
      <c r="U44">
        <v>8</v>
      </c>
      <c r="V44">
        <v>0</v>
      </c>
      <c r="W44">
        <v>624</v>
      </c>
      <c r="X44">
        <v>0</v>
      </c>
      <c r="Y44">
        <v>17</v>
      </c>
      <c r="Z44">
        <v>1</v>
      </c>
      <c r="AA44">
        <v>658</v>
      </c>
      <c r="AB44">
        <v>0</v>
      </c>
      <c r="AC44">
        <v>0</v>
      </c>
      <c r="AD44">
        <v>35</v>
      </c>
      <c r="AE44">
        <v>86</v>
      </c>
      <c r="AF44">
        <v>0</v>
      </c>
      <c r="AG44">
        <v>1094</v>
      </c>
      <c r="AH44">
        <v>0</v>
      </c>
      <c r="AI44">
        <v>0</v>
      </c>
    </row>
    <row r="45" spans="1:35" x14ac:dyDescent="0.3">
      <c r="A45" s="3">
        <v>159</v>
      </c>
      <c r="B45">
        <v>2</v>
      </c>
      <c r="C45">
        <v>2</v>
      </c>
      <c r="D45">
        <v>0</v>
      </c>
      <c r="E45">
        <v>0</v>
      </c>
      <c r="F45">
        <v>13</v>
      </c>
      <c r="G45">
        <v>39.321225870985799</v>
      </c>
      <c r="H45">
        <v>185</v>
      </c>
      <c r="I45">
        <v>0</v>
      </c>
      <c r="J45">
        <v>1</v>
      </c>
      <c r="K45">
        <v>184</v>
      </c>
      <c r="L45">
        <v>2</v>
      </c>
      <c r="M45">
        <v>0</v>
      </c>
      <c r="N45">
        <v>35</v>
      </c>
      <c r="O45">
        <v>1459</v>
      </c>
      <c r="P45">
        <v>5</v>
      </c>
      <c r="Q45">
        <v>174</v>
      </c>
      <c r="R45">
        <v>39</v>
      </c>
      <c r="S45">
        <v>1309</v>
      </c>
      <c r="T45">
        <v>0</v>
      </c>
      <c r="U45">
        <v>0</v>
      </c>
      <c r="V45">
        <v>0</v>
      </c>
      <c r="W45">
        <v>390</v>
      </c>
      <c r="X45">
        <v>36</v>
      </c>
      <c r="Y45">
        <v>40</v>
      </c>
      <c r="Z45">
        <v>0</v>
      </c>
      <c r="AA45">
        <v>1862</v>
      </c>
      <c r="AB45">
        <v>2</v>
      </c>
      <c r="AC45">
        <v>3</v>
      </c>
      <c r="AD45">
        <v>0</v>
      </c>
      <c r="AE45">
        <v>326</v>
      </c>
      <c r="AF45">
        <v>0</v>
      </c>
      <c r="AG45">
        <v>2</v>
      </c>
      <c r="AH45">
        <v>0</v>
      </c>
      <c r="AI45">
        <v>0</v>
      </c>
    </row>
    <row r="46" spans="1:35" x14ac:dyDescent="0.3">
      <c r="A46" s="3">
        <v>160</v>
      </c>
      <c r="B46">
        <v>0</v>
      </c>
      <c r="C46">
        <v>0</v>
      </c>
      <c r="D46">
        <v>15</v>
      </c>
      <c r="E46">
        <v>0</v>
      </c>
      <c r="F46">
        <v>31</v>
      </c>
      <c r="G46">
        <v>139.69648883431501</v>
      </c>
      <c r="H46">
        <v>2</v>
      </c>
      <c r="I46">
        <v>121</v>
      </c>
      <c r="J46">
        <v>6</v>
      </c>
      <c r="K46">
        <v>1191</v>
      </c>
      <c r="L46">
        <v>16</v>
      </c>
      <c r="M46">
        <v>0</v>
      </c>
      <c r="N46">
        <v>2</v>
      </c>
      <c r="O46">
        <v>496</v>
      </c>
      <c r="P46">
        <v>541</v>
      </c>
      <c r="Q46">
        <v>960</v>
      </c>
      <c r="R46">
        <v>751</v>
      </c>
      <c r="S46">
        <v>1353</v>
      </c>
      <c r="T46">
        <v>1</v>
      </c>
      <c r="U46">
        <v>11</v>
      </c>
      <c r="V46">
        <v>0</v>
      </c>
      <c r="W46">
        <v>307</v>
      </c>
      <c r="X46">
        <v>200</v>
      </c>
      <c r="Y46">
        <v>2</v>
      </c>
      <c r="Z46">
        <v>4</v>
      </c>
      <c r="AA46">
        <v>786</v>
      </c>
      <c r="AB46">
        <v>33</v>
      </c>
      <c r="AC46">
        <v>0</v>
      </c>
      <c r="AD46">
        <v>0</v>
      </c>
      <c r="AE46">
        <v>122</v>
      </c>
      <c r="AF46">
        <v>2</v>
      </c>
      <c r="AG46">
        <v>3</v>
      </c>
      <c r="AH46">
        <v>1</v>
      </c>
      <c r="AI46">
        <v>0</v>
      </c>
    </row>
    <row r="47" spans="1:35" x14ac:dyDescent="0.3">
      <c r="A47" s="3">
        <v>161</v>
      </c>
      <c r="B47">
        <v>0</v>
      </c>
      <c r="C47">
        <v>5</v>
      </c>
      <c r="D47">
        <v>2</v>
      </c>
      <c r="E47">
        <v>2</v>
      </c>
      <c r="F47">
        <v>40</v>
      </c>
      <c r="G47">
        <v>373</v>
      </c>
      <c r="H47">
        <v>307</v>
      </c>
      <c r="I47">
        <v>5</v>
      </c>
      <c r="J47">
        <v>0</v>
      </c>
      <c r="K47">
        <v>3</v>
      </c>
      <c r="L47">
        <v>0</v>
      </c>
      <c r="M47">
        <v>0</v>
      </c>
      <c r="N47">
        <v>171</v>
      </c>
      <c r="O47">
        <v>796</v>
      </c>
      <c r="P47">
        <v>783</v>
      </c>
      <c r="Q47">
        <v>414</v>
      </c>
      <c r="R47">
        <v>3</v>
      </c>
      <c r="S47">
        <v>608</v>
      </c>
      <c r="T47">
        <v>0</v>
      </c>
      <c r="U47">
        <v>247</v>
      </c>
      <c r="V47">
        <v>0</v>
      </c>
      <c r="W47">
        <v>289</v>
      </c>
      <c r="X47">
        <v>206</v>
      </c>
      <c r="Y47">
        <v>337</v>
      </c>
      <c r="Z47">
        <v>1</v>
      </c>
      <c r="AA47">
        <v>1260</v>
      </c>
      <c r="AB47">
        <v>955</v>
      </c>
      <c r="AC47">
        <v>42</v>
      </c>
      <c r="AD47">
        <v>0</v>
      </c>
      <c r="AE47">
        <v>417</v>
      </c>
      <c r="AF47">
        <v>9</v>
      </c>
      <c r="AG47">
        <v>637</v>
      </c>
      <c r="AH47">
        <v>0</v>
      </c>
      <c r="AI47">
        <v>0</v>
      </c>
    </row>
    <row r="48" spans="1:35" x14ac:dyDescent="0.3">
      <c r="A48" s="3">
        <v>162</v>
      </c>
      <c r="B48">
        <v>1</v>
      </c>
      <c r="C48">
        <v>947</v>
      </c>
      <c r="D48">
        <v>1</v>
      </c>
      <c r="E48">
        <v>0</v>
      </c>
      <c r="F48">
        <v>82</v>
      </c>
      <c r="G48">
        <v>24</v>
      </c>
      <c r="H48">
        <v>21</v>
      </c>
      <c r="I48">
        <v>24</v>
      </c>
      <c r="J48">
        <v>0</v>
      </c>
      <c r="K48">
        <v>0</v>
      </c>
      <c r="L48">
        <v>301</v>
      </c>
      <c r="M48">
        <v>0</v>
      </c>
      <c r="N48">
        <v>547</v>
      </c>
      <c r="O48">
        <v>178</v>
      </c>
      <c r="P48">
        <v>42</v>
      </c>
      <c r="Q48">
        <v>453</v>
      </c>
      <c r="R48">
        <v>163</v>
      </c>
      <c r="S48">
        <v>307</v>
      </c>
      <c r="T48">
        <v>0</v>
      </c>
      <c r="U48">
        <v>152</v>
      </c>
      <c r="V48">
        <v>0</v>
      </c>
      <c r="W48">
        <v>535</v>
      </c>
      <c r="X48">
        <v>0</v>
      </c>
      <c r="Y48">
        <v>339</v>
      </c>
      <c r="Z48">
        <v>1</v>
      </c>
      <c r="AA48">
        <v>1658</v>
      </c>
      <c r="AB48">
        <v>244</v>
      </c>
      <c r="AC48">
        <v>424</v>
      </c>
      <c r="AD48">
        <v>0</v>
      </c>
      <c r="AE48">
        <v>123</v>
      </c>
      <c r="AF48">
        <v>1</v>
      </c>
      <c r="AG48">
        <v>0</v>
      </c>
      <c r="AH48">
        <v>0</v>
      </c>
      <c r="AI48">
        <v>37</v>
      </c>
    </row>
    <row r="49" spans="1:35" x14ac:dyDescent="0.3">
      <c r="A49" s="3">
        <v>163</v>
      </c>
      <c r="B49">
        <v>1</v>
      </c>
      <c r="C49">
        <v>675</v>
      </c>
      <c r="D49">
        <v>0</v>
      </c>
      <c r="E49">
        <v>3</v>
      </c>
      <c r="F49">
        <v>136</v>
      </c>
      <c r="G49">
        <v>53</v>
      </c>
      <c r="H49">
        <v>393</v>
      </c>
      <c r="I49">
        <v>0</v>
      </c>
      <c r="J49">
        <v>0</v>
      </c>
      <c r="K49">
        <v>22</v>
      </c>
      <c r="L49">
        <v>744</v>
      </c>
      <c r="M49">
        <v>10</v>
      </c>
      <c r="N49">
        <v>0</v>
      </c>
      <c r="O49">
        <v>3</v>
      </c>
      <c r="P49">
        <v>288</v>
      </c>
      <c r="Q49">
        <v>65</v>
      </c>
      <c r="R49">
        <v>138</v>
      </c>
      <c r="S49">
        <v>498</v>
      </c>
      <c r="T49">
        <v>443</v>
      </c>
      <c r="U49">
        <v>3</v>
      </c>
      <c r="V49">
        <v>0</v>
      </c>
      <c r="W49">
        <v>21</v>
      </c>
      <c r="X49">
        <v>0</v>
      </c>
      <c r="Y49">
        <v>45</v>
      </c>
      <c r="Z49">
        <v>0</v>
      </c>
      <c r="AA49">
        <v>2970</v>
      </c>
      <c r="AB49">
        <v>484</v>
      </c>
      <c r="AC49">
        <v>32</v>
      </c>
      <c r="AD49">
        <v>0</v>
      </c>
      <c r="AE49">
        <v>2011</v>
      </c>
      <c r="AF49">
        <v>9</v>
      </c>
      <c r="AG49">
        <v>518</v>
      </c>
      <c r="AH49">
        <v>0</v>
      </c>
      <c r="AI49">
        <v>16</v>
      </c>
    </row>
    <row r="50" spans="1:35" x14ac:dyDescent="0.3">
      <c r="A50" s="3">
        <v>164</v>
      </c>
      <c r="B50">
        <v>0</v>
      </c>
      <c r="C50">
        <v>252</v>
      </c>
      <c r="D50">
        <v>87</v>
      </c>
      <c r="E50">
        <v>111</v>
      </c>
      <c r="F50">
        <v>199</v>
      </c>
      <c r="G50">
        <v>597</v>
      </c>
      <c r="H50">
        <v>19</v>
      </c>
      <c r="I50">
        <v>0</v>
      </c>
      <c r="J50">
        <v>0</v>
      </c>
      <c r="K50">
        <v>90</v>
      </c>
      <c r="L50">
        <v>809</v>
      </c>
      <c r="M50">
        <v>431</v>
      </c>
      <c r="N50">
        <v>0</v>
      </c>
      <c r="O50">
        <v>0</v>
      </c>
      <c r="P50">
        <v>0</v>
      </c>
      <c r="Q50">
        <v>104</v>
      </c>
      <c r="R50">
        <v>324</v>
      </c>
      <c r="S50">
        <v>528</v>
      </c>
      <c r="T50">
        <v>30</v>
      </c>
      <c r="U50">
        <v>0</v>
      </c>
      <c r="V50">
        <v>5</v>
      </c>
      <c r="W50">
        <v>228</v>
      </c>
      <c r="X50">
        <v>1042</v>
      </c>
      <c r="Y50">
        <v>2</v>
      </c>
      <c r="Z50">
        <v>0</v>
      </c>
      <c r="AA50">
        <v>13</v>
      </c>
      <c r="AB50">
        <v>1464</v>
      </c>
      <c r="AC50">
        <v>571</v>
      </c>
      <c r="AD50">
        <v>0</v>
      </c>
      <c r="AE50">
        <v>3000</v>
      </c>
      <c r="AF50">
        <v>3</v>
      </c>
      <c r="AG50">
        <v>22</v>
      </c>
      <c r="AH50">
        <v>0</v>
      </c>
      <c r="AI50">
        <v>5</v>
      </c>
    </row>
    <row r="51" spans="1:35" x14ac:dyDescent="0.3">
      <c r="A51" s="3">
        <v>165</v>
      </c>
      <c r="B51">
        <v>0</v>
      </c>
      <c r="C51">
        <v>226</v>
      </c>
      <c r="D51">
        <v>263</v>
      </c>
      <c r="E51">
        <v>0</v>
      </c>
      <c r="F51">
        <v>166</v>
      </c>
      <c r="G51">
        <v>1331</v>
      </c>
      <c r="H51">
        <v>5</v>
      </c>
      <c r="I51">
        <v>4</v>
      </c>
      <c r="J51">
        <v>78</v>
      </c>
      <c r="K51">
        <v>1019</v>
      </c>
      <c r="L51">
        <v>530</v>
      </c>
      <c r="M51">
        <v>0</v>
      </c>
      <c r="N51">
        <v>0</v>
      </c>
      <c r="O51">
        <v>519</v>
      </c>
      <c r="P51">
        <v>223</v>
      </c>
      <c r="Q51">
        <v>2098</v>
      </c>
      <c r="R51">
        <v>126</v>
      </c>
      <c r="S51">
        <v>115</v>
      </c>
      <c r="T51">
        <v>395</v>
      </c>
      <c r="U51">
        <v>109</v>
      </c>
      <c r="V51">
        <v>0</v>
      </c>
      <c r="W51">
        <v>761</v>
      </c>
      <c r="X51">
        <v>0</v>
      </c>
      <c r="Y51">
        <v>5</v>
      </c>
      <c r="Z51">
        <v>3</v>
      </c>
      <c r="AA51">
        <v>2170</v>
      </c>
      <c r="AB51">
        <v>2011</v>
      </c>
      <c r="AC51">
        <v>251</v>
      </c>
      <c r="AD51">
        <v>1</v>
      </c>
      <c r="AE51">
        <v>3573</v>
      </c>
      <c r="AF51">
        <v>0</v>
      </c>
      <c r="AG51">
        <v>7</v>
      </c>
      <c r="AH51">
        <v>0</v>
      </c>
      <c r="AI51">
        <v>925</v>
      </c>
    </row>
    <row r="52" spans="1:35" x14ac:dyDescent="0.3">
      <c r="A52" s="3">
        <v>166</v>
      </c>
      <c r="B52">
        <v>0</v>
      </c>
      <c r="C52">
        <v>23</v>
      </c>
      <c r="D52">
        <v>384</v>
      </c>
      <c r="E52">
        <v>170</v>
      </c>
      <c r="F52">
        <v>268</v>
      </c>
      <c r="G52">
        <v>592</v>
      </c>
      <c r="H52">
        <v>1008</v>
      </c>
      <c r="I52">
        <v>20</v>
      </c>
      <c r="J52">
        <v>7</v>
      </c>
      <c r="K52">
        <v>141</v>
      </c>
      <c r="L52">
        <v>0</v>
      </c>
      <c r="M52">
        <v>574</v>
      </c>
      <c r="N52">
        <v>258</v>
      </c>
      <c r="O52">
        <v>707</v>
      </c>
      <c r="P52">
        <v>1465</v>
      </c>
      <c r="Q52">
        <v>1092</v>
      </c>
      <c r="R52">
        <v>328</v>
      </c>
      <c r="S52">
        <v>395</v>
      </c>
      <c r="T52">
        <v>0</v>
      </c>
      <c r="U52">
        <v>0</v>
      </c>
      <c r="V52">
        <v>0</v>
      </c>
      <c r="W52">
        <v>221</v>
      </c>
      <c r="X52">
        <v>2</v>
      </c>
      <c r="Y52">
        <v>1568</v>
      </c>
      <c r="Z52">
        <v>2</v>
      </c>
      <c r="AA52">
        <v>2342</v>
      </c>
      <c r="AB52">
        <v>141</v>
      </c>
      <c r="AC52">
        <v>0</v>
      </c>
      <c r="AD52">
        <v>3</v>
      </c>
      <c r="AE52">
        <v>1390</v>
      </c>
      <c r="AF52">
        <v>6</v>
      </c>
      <c r="AG52">
        <v>3</v>
      </c>
      <c r="AH52">
        <v>0</v>
      </c>
      <c r="AI52">
        <v>345</v>
      </c>
    </row>
    <row r="53" spans="1:35" x14ac:dyDescent="0.3">
      <c r="A53" s="3">
        <v>167</v>
      </c>
      <c r="B53">
        <v>0</v>
      </c>
      <c r="C53">
        <v>2</v>
      </c>
      <c r="D53">
        <v>173</v>
      </c>
      <c r="E53">
        <v>11</v>
      </c>
      <c r="F53">
        <v>156</v>
      </c>
      <c r="G53">
        <v>241</v>
      </c>
      <c r="H53">
        <v>722</v>
      </c>
      <c r="I53">
        <v>265</v>
      </c>
      <c r="J53">
        <v>4</v>
      </c>
      <c r="K53">
        <v>878</v>
      </c>
      <c r="L53">
        <v>11</v>
      </c>
      <c r="M53">
        <v>278</v>
      </c>
      <c r="N53">
        <v>2363</v>
      </c>
      <c r="O53">
        <v>351</v>
      </c>
      <c r="P53">
        <v>1457</v>
      </c>
      <c r="Q53">
        <v>128</v>
      </c>
      <c r="R53">
        <v>281</v>
      </c>
      <c r="S53">
        <v>273</v>
      </c>
      <c r="T53">
        <v>2</v>
      </c>
      <c r="U53">
        <v>314</v>
      </c>
      <c r="V53">
        <v>0</v>
      </c>
      <c r="W53">
        <v>424</v>
      </c>
      <c r="X53">
        <v>1015</v>
      </c>
      <c r="Y53">
        <v>618</v>
      </c>
      <c r="Z53">
        <v>0</v>
      </c>
      <c r="AA53">
        <v>3443</v>
      </c>
      <c r="AB53">
        <v>383</v>
      </c>
      <c r="AC53">
        <v>389</v>
      </c>
      <c r="AD53">
        <v>33</v>
      </c>
      <c r="AE53">
        <v>201</v>
      </c>
      <c r="AF53">
        <v>6</v>
      </c>
      <c r="AG53">
        <v>54</v>
      </c>
      <c r="AH53">
        <v>0</v>
      </c>
      <c r="AI53">
        <v>2697</v>
      </c>
    </row>
    <row r="54" spans="1:35" x14ac:dyDescent="0.3">
      <c r="A54" s="3">
        <v>168</v>
      </c>
      <c r="B54">
        <v>0</v>
      </c>
      <c r="C54">
        <v>4592</v>
      </c>
      <c r="D54">
        <v>730</v>
      </c>
      <c r="E54">
        <v>0</v>
      </c>
      <c r="F54">
        <v>28</v>
      </c>
      <c r="G54">
        <v>101</v>
      </c>
      <c r="H54">
        <v>366</v>
      </c>
      <c r="I54">
        <v>207</v>
      </c>
      <c r="J54">
        <v>90</v>
      </c>
      <c r="K54">
        <v>64</v>
      </c>
      <c r="L54">
        <v>241</v>
      </c>
      <c r="M54">
        <v>0</v>
      </c>
      <c r="N54">
        <v>11</v>
      </c>
      <c r="O54">
        <v>424</v>
      </c>
      <c r="P54">
        <v>110</v>
      </c>
      <c r="Q54">
        <v>322</v>
      </c>
      <c r="R54">
        <v>4</v>
      </c>
      <c r="S54">
        <v>593</v>
      </c>
      <c r="T54">
        <v>1298</v>
      </c>
      <c r="U54">
        <v>597</v>
      </c>
      <c r="V54">
        <v>0</v>
      </c>
      <c r="W54">
        <v>233</v>
      </c>
      <c r="X54">
        <v>8</v>
      </c>
      <c r="Y54">
        <v>3</v>
      </c>
      <c r="Z54">
        <v>2</v>
      </c>
      <c r="AA54">
        <v>2131</v>
      </c>
      <c r="AB54">
        <v>2083</v>
      </c>
      <c r="AC54">
        <v>406</v>
      </c>
      <c r="AD54">
        <v>857</v>
      </c>
      <c r="AE54">
        <v>2872</v>
      </c>
      <c r="AF54">
        <v>12</v>
      </c>
      <c r="AG54">
        <v>1019</v>
      </c>
      <c r="AH54">
        <v>0</v>
      </c>
      <c r="AI54">
        <v>586</v>
      </c>
    </row>
    <row r="55" spans="1:35" x14ac:dyDescent="0.3">
      <c r="A55" s="3">
        <v>169</v>
      </c>
      <c r="B55">
        <v>3</v>
      </c>
      <c r="C55">
        <v>1317</v>
      </c>
      <c r="D55">
        <v>1015</v>
      </c>
      <c r="E55">
        <v>0</v>
      </c>
      <c r="F55">
        <v>1024</v>
      </c>
      <c r="G55">
        <v>2186</v>
      </c>
      <c r="H55">
        <v>248</v>
      </c>
      <c r="I55">
        <v>662</v>
      </c>
      <c r="J55">
        <v>228</v>
      </c>
      <c r="K55">
        <v>0</v>
      </c>
      <c r="L55">
        <v>178</v>
      </c>
      <c r="M55">
        <v>187</v>
      </c>
      <c r="N55">
        <v>1607</v>
      </c>
      <c r="O55">
        <v>1477</v>
      </c>
      <c r="P55">
        <v>618</v>
      </c>
      <c r="Q55">
        <v>1262</v>
      </c>
      <c r="R55">
        <v>944</v>
      </c>
      <c r="S55">
        <v>1781</v>
      </c>
      <c r="T55">
        <v>433</v>
      </c>
      <c r="U55">
        <v>996</v>
      </c>
      <c r="V55">
        <v>0</v>
      </c>
      <c r="W55">
        <v>886</v>
      </c>
      <c r="X55">
        <v>382</v>
      </c>
      <c r="Y55">
        <v>467</v>
      </c>
      <c r="Z55">
        <v>32</v>
      </c>
      <c r="AA55">
        <v>948</v>
      </c>
      <c r="AB55">
        <v>0</v>
      </c>
      <c r="AC55">
        <v>93</v>
      </c>
      <c r="AD55">
        <v>273</v>
      </c>
      <c r="AE55">
        <v>4688</v>
      </c>
      <c r="AF55">
        <v>237</v>
      </c>
      <c r="AG55">
        <v>14</v>
      </c>
      <c r="AH55">
        <v>2</v>
      </c>
      <c r="AI55">
        <v>29</v>
      </c>
    </row>
    <row r="56" spans="1:35" x14ac:dyDescent="0.3">
      <c r="A56" s="3">
        <v>170</v>
      </c>
      <c r="B56">
        <v>2</v>
      </c>
      <c r="C56">
        <v>1506</v>
      </c>
      <c r="D56">
        <v>2132</v>
      </c>
      <c r="E56">
        <v>1156</v>
      </c>
      <c r="F56">
        <v>360</v>
      </c>
      <c r="G56">
        <v>293</v>
      </c>
      <c r="H56">
        <v>43</v>
      </c>
      <c r="I56">
        <v>57</v>
      </c>
      <c r="J56">
        <v>62</v>
      </c>
      <c r="K56">
        <v>726</v>
      </c>
      <c r="L56">
        <v>0</v>
      </c>
      <c r="M56">
        <v>50</v>
      </c>
      <c r="N56">
        <v>2143</v>
      </c>
      <c r="O56">
        <v>85</v>
      </c>
      <c r="P56">
        <v>94</v>
      </c>
      <c r="Q56">
        <v>500</v>
      </c>
      <c r="R56">
        <v>894</v>
      </c>
      <c r="S56">
        <v>396</v>
      </c>
      <c r="T56">
        <v>26</v>
      </c>
      <c r="U56">
        <v>656</v>
      </c>
      <c r="V56">
        <v>0</v>
      </c>
      <c r="W56">
        <v>1533</v>
      </c>
      <c r="X56">
        <v>1366</v>
      </c>
      <c r="Y56">
        <v>174</v>
      </c>
      <c r="Z56">
        <v>344</v>
      </c>
      <c r="AA56">
        <v>681</v>
      </c>
      <c r="AB56">
        <v>1226</v>
      </c>
      <c r="AC56">
        <v>58</v>
      </c>
      <c r="AD56">
        <v>103</v>
      </c>
      <c r="AE56">
        <v>61</v>
      </c>
      <c r="AF56">
        <v>138</v>
      </c>
      <c r="AG56">
        <v>677</v>
      </c>
      <c r="AH56">
        <v>1</v>
      </c>
      <c r="AI56">
        <v>724</v>
      </c>
    </row>
    <row r="57" spans="1:35" x14ac:dyDescent="0.3">
      <c r="A57" s="3">
        <v>171</v>
      </c>
      <c r="B57">
        <v>3</v>
      </c>
      <c r="C57">
        <v>640</v>
      </c>
      <c r="D57">
        <v>34</v>
      </c>
      <c r="E57">
        <v>1486</v>
      </c>
      <c r="F57">
        <v>442</v>
      </c>
      <c r="G57">
        <v>2497</v>
      </c>
      <c r="H57">
        <v>48</v>
      </c>
      <c r="I57">
        <v>1091</v>
      </c>
      <c r="J57">
        <v>1289</v>
      </c>
      <c r="K57">
        <v>716</v>
      </c>
      <c r="L57">
        <v>132</v>
      </c>
      <c r="M57">
        <v>254</v>
      </c>
      <c r="N57">
        <v>82</v>
      </c>
      <c r="O57">
        <v>309</v>
      </c>
      <c r="P57">
        <v>1885</v>
      </c>
      <c r="Q57">
        <v>274</v>
      </c>
      <c r="R57">
        <v>234</v>
      </c>
      <c r="S57">
        <v>1805</v>
      </c>
      <c r="T57">
        <v>90</v>
      </c>
      <c r="U57">
        <v>1013</v>
      </c>
      <c r="V57">
        <v>0</v>
      </c>
      <c r="W57">
        <v>368</v>
      </c>
      <c r="X57">
        <v>3739</v>
      </c>
      <c r="Y57">
        <v>476</v>
      </c>
      <c r="Z57">
        <v>0</v>
      </c>
      <c r="AA57">
        <v>1895</v>
      </c>
      <c r="AB57">
        <v>623</v>
      </c>
      <c r="AC57">
        <v>1029</v>
      </c>
      <c r="AD57">
        <v>125</v>
      </c>
      <c r="AE57">
        <v>243</v>
      </c>
      <c r="AF57">
        <v>98</v>
      </c>
      <c r="AG57">
        <v>62</v>
      </c>
      <c r="AH57">
        <v>345</v>
      </c>
      <c r="AI57">
        <v>117</v>
      </c>
    </row>
    <row r="58" spans="1:35" x14ac:dyDescent="0.3">
      <c r="A58" s="3">
        <v>172</v>
      </c>
      <c r="B58">
        <v>2</v>
      </c>
      <c r="C58">
        <v>2968</v>
      </c>
      <c r="D58">
        <v>3310</v>
      </c>
      <c r="E58">
        <v>1726</v>
      </c>
      <c r="F58">
        <v>649</v>
      </c>
      <c r="G58">
        <v>0</v>
      </c>
      <c r="H58">
        <v>519</v>
      </c>
      <c r="I58">
        <v>929</v>
      </c>
      <c r="J58">
        <v>2857</v>
      </c>
      <c r="K58">
        <v>237</v>
      </c>
      <c r="L58">
        <v>1191</v>
      </c>
      <c r="M58">
        <v>2572</v>
      </c>
      <c r="N58">
        <v>1222</v>
      </c>
      <c r="O58">
        <v>144</v>
      </c>
      <c r="P58">
        <v>1230</v>
      </c>
      <c r="Q58">
        <v>486</v>
      </c>
      <c r="R58">
        <v>1946</v>
      </c>
      <c r="S58">
        <v>147</v>
      </c>
      <c r="T58">
        <v>12</v>
      </c>
      <c r="U58">
        <v>293</v>
      </c>
      <c r="V58">
        <v>240</v>
      </c>
      <c r="W58">
        <v>2214</v>
      </c>
      <c r="X58">
        <v>2594</v>
      </c>
      <c r="Y58">
        <v>83</v>
      </c>
      <c r="Z58">
        <v>16</v>
      </c>
      <c r="AA58">
        <v>2458</v>
      </c>
      <c r="AB58">
        <v>324</v>
      </c>
      <c r="AC58">
        <v>52</v>
      </c>
      <c r="AD58">
        <v>3</v>
      </c>
      <c r="AE58">
        <v>90</v>
      </c>
      <c r="AF58">
        <v>35</v>
      </c>
      <c r="AG58">
        <v>16</v>
      </c>
      <c r="AH58">
        <v>0</v>
      </c>
      <c r="AI58">
        <v>4585</v>
      </c>
    </row>
    <row r="59" spans="1:35" x14ac:dyDescent="0.3">
      <c r="A59" s="3">
        <v>173</v>
      </c>
      <c r="B59">
        <v>0</v>
      </c>
      <c r="C59">
        <v>880</v>
      </c>
      <c r="D59">
        <v>107</v>
      </c>
      <c r="E59">
        <v>2967</v>
      </c>
      <c r="F59">
        <v>608</v>
      </c>
      <c r="G59">
        <v>739</v>
      </c>
      <c r="H59">
        <v>1359</v>
      </c>
      <c r="I59">
        <v>1886</v>
      </c>
      <c r="J59">
        <v>1340</v>
      </c>
      <c r="K59">
        <v>251</v>
      </c>
      <c r="L59">
        <v>1955</v>
      </c>
      <c r="M59">
        <v>6</v>
      </c>
      <c r="N59">
        <v>422</v>
      </c>
      <c r="O59">
        <v>710</v>
      </c>
      <c r="P59">
        <v>2523</v>
      </c>
      <c r="Q59">
        <v>1366</v>
      </c>
      <c r="R59">
        <v>74</v>
      </c>
      <c r="S59">
        <v>686</v>
      </c>
      <c r="T59">
        <v>165</v>
      </c>
      <c r="U59">
        <v>43</v>
      </c>
      <c r="V59">
        <v>331</v>
      </c>
      <c r="W59">
        <v>1228</v>
      </c>
      <c r="X59">
        <v>0</v>
      </c>
      <c r="Y59">
        <v>3153</v>
      </c>
      <c r="Z59">
        <v>769</v>
      </c>
      <c r="AA59">
        <v>2335</v>
      </c>
      <c r="AB59">
        <v>727</v>
      </c>
      <c r="AC59">
        <v>329</v>
      </c>
      <c r="AD59">
        <v>1139</v>
      </c>
      <c r="AE59">
        <v>39</v>
      </c>
      <c r="AF59">
        <v>15</v>
      </c>
      <c r="AG59">
        <v>376</v>
      </c>
      <c r="AH59">
        <v>0</v>
      </c>
      <c r="AI59">
        <v>91</v>
      </c>
    </row>
    <row r="60" spans="1:35" x14ac:dyDescent="0.3">
      <c r="A60" s="3">
        <v>174</v>
      </c>
      <c r="B60">
        <v>957</v>
      </c>
      <c r="C60">
        <v>1649</v>
      </c>
      <c r="D60">
        <v>1435</v>
      </c>
      <c r="E60">
        <v>123</v>
      </c>
      <c r="F60">
        <v>959</v>
      </c>
      <c r="G60">
        <v>1805</v>
      </c>
      <c r="H60">
        <v>2640</v>
      </c>
      <c r="I60">
        <v>1299</v>
      </c>
      <c r="J60">
        <v>476</v>
      </c>
      <c r="K60">
        <v>1330</v>
      </c>
      <c r="L60">
        <v>377</v>
      </c>
      <c r="M60">
        <v>1253</v>
      </c>
      <c r="N60">
        <v>14</v>
      </c>
      <c r="O60">
        <v>962</v>
      </c>
      <c r="P60">
        <v>1233</v>
      </c>
      <c r="Q60">
        <v>317</v>
      </c>
      <c r="R60">
        <v>75</v>
      </c>
      <c r="S60">
        <v>2044</v>
      </c>
      <c r="T60">
        <v>2163</v>
      </c>
      <c r="U60">
        <v>32</v>
      </c>
      <c r="V60">
        <v>1503</v>
      </c>
      <c r="W60">
        <v>407</v>
      </c>
      <c r="X60">
        <v>1686</v>
      </c>
      <c r="Y60">
        <v>2153</v>
      </c>
      <c r="Z60">
        <v>3053</v>
      </c>
      <c r="AA60">
        <v>1233</v>
      </c>
      <c r="AB60">
        <v>1626</v>
      </c>
      <c r="AC60">
        <v>147</v>
      </c>
      <c r="AD60">
        <v>657</v>
      </c>
      <c r="AE60">
        <v>214</v>
      </c>
      <c r="AF60">
        <v>0</v>
      </c>
      <c r="AG60">
        <v>1541</v>
      </c>
      <c r="AH60">
        <v>302</v>
      </c>
      <c r="AI60">
        <v>1</v>
      </c>
    </row>
    <row r="61" spans="1:35" x14ac:dyDescent="0.3">
      <c r="A61" s="3">
        <v>175</v>
      </c>
      <c r="B61">
        <v>0</v>
      </c>
      <c r="C61">
        <v>2297</v>
      </c>
      <c r="D61">
        <v>89</v>
      </c>
      <c r="E61">
        <v>32</v>
      </c>
      <c r="F61">
        <v>685</v>
      </c>
      <c r="G61">
        <v>2343</v>
      </c>
      <c r="H61">
        <v>208</v>
      </c>
      <c r="I61">
        <v>3087</v>
      </c>
      <c r="J61">
        <v>2010</v>
      </c>
      <c r="K61">
        <v>114</v>
      </c>
      <c r="L61">
        <v>84</v>
      </c>
      <c r="M61">
        <v>519</v>
      </c>
      <c r="N61">
        <v>267</v>
      </c>
      <c r="O61">
        <v>1938</v>
      </c>
      <c r="P61">
        <v>1857</v>
      </c>
      <c r="Q61">
        <v>1540</v>
      </c>
      <c r="R61">
        <v>752</v>
      </c>
      <c r="S61">
        <v>2113</v>
      </c>
      <c r="T61">
        <v>610</v>
      </c>
      <c r="U61">
        <v>934</v>
      </c>
      <c r="V61">
        <v>42</v>
      </c>
      <c r="W61">
        <v>2177</v>
      </c>
      <c r="X61">
        <v>1343</v>
      </c>
      <c r="Y61">
        <v>709</v>
      </c>
      <c r="Z61">
        <v>462</v>
      </c>
      <c r="AA61">
        <v>1252</v>
      </c>
      <c r="AB61">
        <v>1368</v>
      </c>
      <c r="AC61">
        <v>744</v>
      </c>
      <c r="AD61">
        <v>846</v>
      </c>
      <c r="AE61">
        <v>186</v>
      </c>
      <c r="AF61">
        <v>96</v>
      </c>
      <c r="AG61">
        <v>408</v>
      </c>
      <c r="AH61">
        <v>3374</v>
      </c>
      <c r="AI61">
        <v>3222</v>
      </c>
    </row>
    <row r="62" spans="1:35" x14ac:dyDescent="0.3">
      <c r="A62" s="3">
        <v>176</v>
      </c>
      <c r="B62">
        <v>14</v>
      </c>
      <c r="C62">
        <v>2247</v>
      </c>
      <c r="D62">
        <v>1004</v>
      </c>
      <c r="E62">
        <v>1523</v>
      </c>
      <c r="F62">
        <v>941</v>
      </c>
      <c r="G62">
        <v>244</v>
      </c>
      <c r="H62">
        <v>1710</v>
      </c>
      <c r="I62">
        <v>138</v>
      </c>
      <c r="J62">
        <v>334</v>
      </c>
      <c r="K62">
        <v>313</v>
      </c>
      <c r="L62">
        <v>2</v>
      </c>
      <c r="M62">
        <v>979</v>
      </c>
      <c r="N62">
        <v>124</v>
      </c>
      <c r="O62">
        <v>866</v>
      </c>
      <c r="P62">
        <v>1246</v>
      </c>
      <c r="Q62">
        <v>672</v>
      </c>
      <c r="R62">
        <v>505</v>
      </c>
      <c r="S62">
        <v>1187</v>
      </c>
      <c r="T62">
        <v>1265</v>
      </c>
      <c r="U62">
        <v>232</v>
      </c>
      <c r="V62">
        <v>392</v>
      </c>
      <c r="W62">
        <v>1291</v>
      </c>
      <c r="X62">
        <v>1023</v>
      </c>
      <c r="Y62">
        <v>714</v>
      </c>
      <c r="Z62">
        <v>65</v>
      </c>
      <c r="AA62">
        <v>2588</v>
      </c>
      <c r="AB62">
        <v>1540</v>
      </c>
      <c r="AC62">
        <v>138</v>
      </c>
      <c r="AD62">
        <v>12</v>
      </c>
      <c r="AE62">
        <v>790</v>
      </c>
      <c r="AF62">
        <v>724</v>
      </c>
      <c r="AG62">
        <v>438</v>
      </c>
      <c r="AH62">
        <v>647</v>
      </c>
      <c r="AI62">
        <v>1387</v>
      </c>
    </row>
    <row r="63" spans="1:35" x14ac:dyDescent="0.3">
      <c r="A63" s="3">
        <v>177</v>
      </c>
      <c r="B63">
        <v>5</v>
      </c>
      <c r="C63">
        <v>504</v>
      </c>
      <c r="D63">
        <v>5016</v>
      </c>
      <c r="E63">
        <v>203</v>
      </c>
      <c r="F63">
        <v>528</v>
      </c>
      <c r="G63">
        <v>845</v>
      </c>
      <c r="H63">
        <v>728</v>
      </c>
      <c r="I63">
        <v>223</v>
      </c>
      <c r="J63">
        <v>1080</v>
      </c>
      <c r="K63">
        <v>352</v>
      </c>
      <c r="L63">
        <v>76</v>
      </c>
      <c r="M63">
        <v>121</v>
      </c>
      <c r="N63">
        <v>277</v>
      </c>
      <c r="O63">
        <v>849</v>
      </c>
      <c r="P63">
        <v>73</v>
      </c>
      <c r="Q63">
        <v>1216</v>
      </c>
      <c r="R63">
        <v>1949</v>
      </c>
      <c r="S63">
        <v>2048</v>
      </c>
      <c r="T63">
        <v>986</v>
      </c>
      <c r="U63">
        <v>692</v>
      </c>
      <c r="V63">
        <v>97</v>
      </c>
      <c r="W63">
        <v>991</v>
      </c>
      <c r="X63">
        <v>734</v>
      </c>
      <c r="Y63">
        <v>1595</v>
      </c>
      <c r="Z63">
        <v>340</v>
      </c>
      <c r="AA63">
        <v>3473</v>
      </c>
      <c r="AB63">
        <v>891</v>
      </c>
      <c r="AC63">
        <v>860</v>
      </c>
      <c r="AD63">
        <v>1635</v>
      </c>
      <c r="AE63">
        <v>1151</v>
      </c>
      <c r="AF63">
        <v>16</v>
      </c>
      <c r="AG63">
        <v>1023</v>
      </c>
      <c r="AH63">
        <v>3290</v>
      </c>
      <c r="AI63">
        <v>847</v>
      </c>
    </row>
    <row r="64" spans="1:35" x14ac:dyDescent="0.3">
      <c r="A64" s="3">
        <v>178</v>
      </c>
      <c r="B64">
        <v>35</v>
      </c>
      <c r="C64">
        <v>5845</v>
      </c>
      <c r="D64">
        <v>1001</v>
      </c>
      <c r="E64">
        <v>570</v>
      </c>
      <c r="F64">
        <v>1076</v>
      </c>
      <c r="G64">
        <v>3612</v>
      </c>
      <c r="H64">
        <v>241</v>
      </c>
      <c r="I64">
        <v>2753</v>
      </c>
      <c r="J64">
        <v>169</v>
      </c>
      <c r="K64">
        <v>1402</v>
      </c>
      <c r="L64">
        <v>603</v>
      </c>
      <c r="M64">
        <v>950</v>
      </c>
      <c r="N64">
        <v>674</v>
      </c>
      <c r="O64">
        <v>1432</v>
      </c>
      <c r="P64">
        <v>992</v>
      </c>
      <c r="Q64">
        <v>1539</v>
      </c>
      <c r="R64">
        <v>848</v>
      </c>
      <c r="S64">
        <v>2941</v>
      </c>
      <c r="T64">
        <v>1438</v>
      </c>
      <c r="U64">
        <v>34</v>
      </c>
      <c r="V64">
        <v>108</v>
      </c>
      <c r="W64">
        <v>3822</v>
      </c>
      <c r="X64">
        <v>1642</v>
      </c>
      <c r="Y64">
        <v>2499</v>
      </c>
      <c r="Z64">
        <v>4787</v>
      </c>
      <c r="AA64">
        <v>2869</v>
      </c>
      <c r="AB64">
        <v>1495</v>
      </c>
      <c r="AC64">
        <v>1454</v>
      </c>
      <c r="AD64">
        <v>707</v>
      </c>
      <c r="AE64">
        <v>256</v>
      </c>
      <c r="AF64">
        <v>268</v>
      </c>
      <c r="AG64">
        <v>459</v>
      </c>
      <c r="AH64">
        <v>57</v>
      </c>
      <c r="AI64">
        <v>695</v>
      </c>
    </row>
    <row r="65" spans="1:35" x14ac:dyDescent="0.3">
      <c r="A65" s="3">
        <v>179</v>
      </c>
      <c r="B65">
        <v>25</v>
      </c>
      <c r="C65">
        <v>5818</v>
      </c>
      <c r="D65">
        <v>1549</v>
      </c>
      <c r="E65">
        <v>2156</v>
      </c>
      <c r="F65">
        <v>945</v>
      </c>
      <c r="G65">
        <v>489</v>
      </c>
      <c r="H65">
        <v>530</v>
      </c>
      <c r="I65">
        <v>1711</v>
      </c>
      <c r="J65">
        <v>2536</v>
      </c>
      <c r="K65">
        <v>757</v>
      </c>
      <c r="L65">
        <v>2</v>
      </c>
      <c r="M65">
        <v>1270</v>
      </c>
      <c r="N65">
        <v>336</v>
      </c>
      <c r="O65">
        <v>181</v>
      </c>
      <c r="P65">
        <v>2763</v>
      </c>
      <c r="Q65">
        <v>1211</v>
      </c>
      <c r="R65">
        <v>319</v>
      </c>
      <c r="S65">
        <v>555</v>
      </c>
      <c r="T65">
        <v>1093</v>
      </c>
      <c r="U65">
        <v>198</v>
      </c>
      <c r="V65">
        <v>53</v>
      </c>
      <c r="W65">
        <v>1671</v>
      </c>
      <c r="X65">
        <v>3995</v>
      </c>
      <c r="Y65">
        <v>2293</v>
      </c>
      <c r="Z65">
        <v>705</v>
      </c>
      <c r="AA65">
        <v>5927</v>
      </c>
      <c r="AB65">
        <v>1693</v>
      </c>
      <c r="AC65">
        <v>2933</v>
      </c>
      <c r="AD65">
        <v>1187</v>
      </c>
      <c r="AE65">
        <v>774</v>
      </c>
      <c r="AF65">
        <v>308</v>
      </c>
      <c r="AG65">
        <v>993</v>
      </c>
      <c r="AH65">
        <v>372</v>
      </c>
      <c r="AI65">
        <v>1405.0065294429501</v>
      </c>
    </row>
    <row r="66" spans="1:35" x14ac:dyDescent="0.3">
      <c r="A66" s="3">
        <v>180</v>
      </c>
      <c r="B66">
        <v>1144</v>
      </c>
      <c r="C66">
        <v>1254</v>
      </c>
      <c r="D66">
        <v>937</v>
      </c>
      <c r="E66">
        <v>3239</v>
      </c>
      <c r="F66">
        <v>5291</v>
      </c>
      <c r="G66">
        <v>545</v>
      </c>
      <c r="H66">
        <v>2162</v>
      </c>
      <c r="I66">
        <v>754</v>
      </c>
      <c r="J66">
        <v>3066</v>
      </c>
      <c r="K66">
        <v>2292</v>
      </c>
      <c r="L66">
        <v>994</v>
      </c>
      <c r="M66">
        <v>1239</v>
      </c>
      <c r="N66">
        <v>860</v>
      </c>
      <c r="O66">
        <v>311</v>
      </c>
      <c r="P66">
        <v>475</v>
      </c>
      <c r="Q66">
        <v>4090</v>
      </c>
      <c r="R66">
        <v>976</v>
      </c>
      <c r="S66">
        <v>539</v>
      </c>
      <c r="T66">
        <v>1205</v>
      </c>
      <c r="U66">
        <v>670</v>
      </c>
      <c r="V66">
        <v>1042</v>
      </c>
      <c r="W66">
        <v>1286</v>
      </c>
      <c r="X66">
        <v>1252</v>
      </c>
      <c r="Y66">
        <v>40</v>
      </c>
      <c r="Z66">
        <v>3098</v>
      </c>
      <c r="AA66">
        <v>4905</v>
      </c>
      <c r="AB66">
        <v>1683</v>
      </c>
      <c r="AC66">
        <v>1429</v>
      </c>
      <c r="AD66">
        <v>474</v>
      </c>
      <c r="AE66">
        <v>200</v>
      </c>
      <c r="AF66">
        <v>81</v>
      </c>
      <c r="AG66">
        <v>464</v>
      </c>
      <c r="AH66">
        <v>43</v>
      </c>
      <c r="AI66">
        <v>86</v>
      </c>
    </row>
    <row r="67" spans="1:35" x14ac:dyDescent="0.3">
      <c r="A67" s="3">
        <v>181</v>
      </c>
      <c r="B67">
        <v>8145</v>
      </c>
      <c r="C67">
        <v>1120</v>
      </c>
      <c r="D67">
        <v>1486</v>
      </c>
      <c r="E67">
        <v>4753</v>
      </c>
      <c r="F67">
        <v>3891</v>
      </c>
      <c r="G67">
        <v>2721</v>
      </c>
      <c r="H67">
        <v>3558</v>
      </c>
      <c r="I67">
        <v>7</v>
      </c>
      <c r="J67">
        <v>848</v>
      </c>
      <c r="K67">
        <v>841</v>
      </c>
      <c r="L67">
        <v>1062</v>
      </c>
      <c r="M67">
        <v>1741</v>
      </c>
      <c r="N67">
        <v>398</v>
      </c>
      <c r="O67">
        <v>1918</v>
      </c>
      <c r="P67">
        <v>2405</v>
      </c>
      <c r="Q67">
        <v>3672</v>
      </c>
      <c r="R67">
        <v>90</v>
      </c>
      <c r="S67">
        <v>528</v>
      </c>
      <c r="T67">
        <v>1086</v>
      </c>
      <c r="U67">
        <v>1300</v>
      </c>
      <c r="V67">
        <v>1481</v>
      </c>
      <c r="W67">
        <v>2706</v>
      </c>
      <c r="X67">
        <v>6</v>
      </c>
      <c r="Y67">
        <v>4877</v>
      </c>
      <c r="Z67">
        <v>54</v>
      </c>
      <c r="AA67">
        <v>2116</v>
      </c>
      <c r="AB67">
        <v>662</v>
      </c>
      <c r="AC67">
        <v>150</v>
      </c>
      <c r="AD67">
        <v>400</v>
      </c>
      <c r="AE67">
        <v>344</v>
      </c>
      <c r="AF67">
        <v>67</v>
      </c>
      <c r="AG67">
        <v>1551</v>
      </c>
      <c r="AH67">
        <v>2114</v>
      </c>
      <c r="AI67">
        <v>1857</v>
      </c>
    </row>
    <row r="68" spans="1:35" x14ac:dyDescent="0.3">
      <c r="A68" s="3">
        <v>182</v>
      </c>
      <c r="B68">
        <v>1775</v>
      </c>
      <c r="C68">
        <v>1393</v>
      </c>
      <c r="D68">
        <v>190</v>
      </c>
      <c r="E68">
        <v>2743</v>
      </c>
      <c r="F68">
        <v>2307</v>
      </c>
      <c r="G68">
        <v>822</v>
      </c>
      <c r="H68">
        <v>274</v>
      </c>
      <c r="I68">
        <v>1070</v>
      </c>
      <c r="J68">
        <v>218</v>
      </c>
      <c r="K68">
        <v>210</v>
      </c>
      <c r="L68">
        <v>520</v>
      </c>
      <c r="M68">
        <v>1979</v>
      </c>
      <c r="N68">
        <v>1101</v>
      </c>
      <c r="O68">
        <v>1453</v>
      </c>
      <c r="P68">
        <v>1208</v>
      </c>
      <c r="Q68">
        <v>1487</v>
      </c>
      <c r="R68">
        <v>0</v>
      </c>
      <c r="S68">
        <v>679</v>
      </c>
      <c r="T68">
        <v>3271</v>
      </c>
      <c r="U68">
        <v>1076</v>
      </c>
      <c r="V68">
        <v>849</v>
      </c>
      <c r="W68">
        <v>472</v>
      </c>
      <c r="X68">
        <v>434</v>
      </c>
      <c r="Y68">
        <v>3405</v>
      </c>
      <c r="Z68">
        <v>1083</v>
      </c>
      <c r="AA68">
        <v>1869</v>
      </c>
      <c r="AB68">
        <v>2575</v>
      </c>
      <c r="AC68">
        <v>1021</v>
      </c>
      <c r="AD68">
        <v>61</v>
      </c>
      <c r="AE68">
        <v>261</v>
      </c>
      <c r="AF68">
        <v>177</v>
      </c>
      <c r="AG68">
        <v>1188</v>
      </c>
      <c r="AH68">
        <v>903</v>
      </c>
      <c r="AI68">
        <v>3406</v>
      </c>
    </row>
    <row r="69" spans="1:35" x14ac:dyDescent="0.3">
      <c r="A69" s="3">
        <v>183</v>
      </c>
      <c r="B69">
        <v>604</v>
      </c>
      <c r="C69">
        <v>1449</v>
      </c>
      <c r="D69">
        <v>1100</v>
      </c>
      <c r="E69">
        <v>2707</v>
      </c>
      <c r="F69">
        <v>902</v>
      </c>
      <c r="G69">
        <v>218</v>
      </c>
      <c r="H69">
        <v>1551</v>
      </c>
      <c r="I69">
        <v>423</v>
      </c>
      <c r="J69">
        <v>1114</v>
      </c>
      <c r="K69">
        <v>50</v>
      </c>
      <c r="L69">
        <v>602</v>
      </c>
      <c r="M69">
        <v>512</v>
      </c>
      <c r="N69">
        <v>2379</v>
      </c>
      <c r="O69">
        <v>3161</v>
      </c>
      <c r="P69">
        <v>722</v>
      </c>
      <c r="Q69">
        <v>151</v>
      </c>
      <c r="R69">
        <v>882</v>
      </c>
      <c r="S69">
        <v>2405</v>
      </c>
      <c r="T69">
        <v>2067</v>
      </c>
      <c r="U69">
        <v>771</v>
      </c>
      <c r="V69">
        <v>53</v>
      </c>
      <c r="W69">
        <v>731</v>
      </c>
      <c r="X69">
        <v>1549</v>
      </c>
      <c r="Y69">
        <v>2075</v>
      </c>
      <c r="Z69">
        <v>470</v>
      </c>
      <c r="AA69">
        <v>1646</v>
      </c>
      <c r="AB69">
        <v>1566</v>
      </c>
      <c r="AC69">
        <v>2142</v>
      </c>
      <c r="AD69">
        <v>2611</v>
      </c>
      <c r="AE69">
        <v>3389</v>
      </c>
      <c r="AF69">
        <v>586</v>
      </c>
      <c r="AG69">
        <v>271</v>
      </c>
      <c r="AH69">
        <v>3657</v>
      </c>
      <c r="AI69">
        <v>1524</v>
      </c>
    </row>
    <row r="70" spans="1:35" x14ac:dyDescent="0.3">
      <c r="A70" s="3">
        <v>184</v>
      </c>
      <c r="B70">
        <v>2755</v>
      </c>
      <c r="C70">
        <v>1911</v>
      </c>
      <c r="D70">
        <v>2948</v>
      </c>
      <c r="E70">
        <v>6045</v>
      </c>
      <c r="F70">
        <v>170</v>
      </c>
      <c r="G70">
        <v>961</v>
      </c>
      <c r="H70">
        <v>2518</v>
      </c>
      <c r="I70">
        <v>822</v>
      </c>
      <c r="J70">
        <v>2057</v>
      </c>
      <c r="K70">
        <v>1348</v>
      </c>
      <c r="L70">
        <v>1639</v>
      </c>
      <c r="M70">
        <v>2130</v>
      </c>
      <c r="N70">
        <v>2260</v>
      </c>
      <c r="O70">
        <v>498</v>
      </c>
      <c r="P70">
        <v>1322</v>
      </c>
      <c r="Q70">
        <v>2446</v>
      </c>
      <c r="R70">
        <v>1670</v>
      </c>
      <c r="S70">
        <v>1544</v>
      </c>
      <c r="T70">
        <v>2256</v>
      </c>
      <c r="U70">
        <v>27</v>
      </c>
      <c r="V70">
        <v>1266</v>
      </c>
      <c r="W70">
        <v>1962</v>
      </c>
      <c r="X70">
        <v>437</v>
      </c>
      <c r="Y70">
        <v>2617</v>
      </c>
      <c r="Z70">
        <v>76</v>
      </c>
      <c r="AA70">
        <v>1543</v>
      </c>
      <c r="AB70">
        <v>801</v>
      </c>
      <c r="AC70">
        <v>3050</v>
      </c>
      <c r="AD70">
        <v>2817</v>
      </c>
      <c r="AE70">
        <v>1575</v>
      </c>
      <c r="AF70">
        <v>682</v>
      </c>
      <c r="AG70">
        <v>1208</v>
      </c>
      <c r="AH70">
        <v>1954</v>
      </c>
      <c r="AI70">
        <v>2609</v>
      </c>
    </row>
    <row r="71" spans="1:35" x14ac:dyDescent="0.3">
      <c r="A71" s="3">
        <v>185</v>
      </c>
      <c r="B71">
        <v>987</v>
      </c>
      <c r="C71">
        <v>3438</v>
      </c>
      <c r="D71">
        <v>2833</v>
      </c>
      <c r="E71">
        <v>390</v>
      </c>
      <c r="F71">
        <v>729</v>
      </c>
      <c r="G71">
        <v>733</v>
      </c>
      <c r="H71">
        <v>711</v>
      </c>
      <c r="I71">
        <v>764</v>
      </c>
      <c r="J71">
        <v>2292</v>
      </c>
      <c r="K71">
        <v>1148</v>
      </c>
      <c r="L71">
        <v>213</v>
      </c>
      <c r="M71">
        <v>4268</v>
      </c>
      <c r="N71">
        <v>1936</v>
      </c>
      <c r="O71">
        <v>47</v>
      </c>
      <c r="P71">
        <v>357</v>
      </c>
      <c r="Q71">
        <v>2719</v>
      </c>
      <c r="R71">
        <v>2124</v>
      </c>
      <c r="S71">
        <v>1516</v>
      </c>
      <c r="T71">
        <v>1917</v>
      </c>
      <c r="U71">
        <v>959</v>
      </c>
      <c r="V71">
        <v>2130</v>
      </c>
      <c r="W71">
        <v>2468</v>
      </c>
      <c r="X71">
        <v>3026</v>
      </c>
      <c r="Y71">
        <v>3967</v>
      </c>
      <c r="Z71">
        <v>245</v>
      </c>
      <c r="AA71">
        <v>6851</v>
      </c>
      <c r="AB71">
        <v>470</v>
      </c>
      <c r="AC71">
        <v>2584</v>
      </c>
      <c r="AD71">
        <v>2132</v>
      </c>
      <c r="AE71">
        <v>64</v>
      </c>
      <c r="AF71">
        <v>1272</v>
      </c>
      <c r="AG71">
        <v>2241</v>
      </c>
      <c r="AH71">
        <v>1687</v>
      </c>
      <c r="AI71">
        <v>2783</v>
      </c>
    </row>
    <row r="72" spans="1:35" x14ac:dyDescent="0.3">
      <c r="A72" s="3">
        <v>186</v>
      </c>
      <c r="B72">
        <v>94</v>
      </c>
      <c r="C72">
        <v>1374</v>
      </c>
      <c r="D72">
        <v>70</v>
      </c>
      <c r="E72">
        <v>132</v>
      </c>
      <c r="F72">
        <v>358</v>
      </c>
      <c r="G72">
        <v>624</v>
      </c>
      <c r="H72">
        <v>4638</v>
      </c>
      <c r="I72">
        <v>1178</v>
      </c>
      <c r="J72">
        <v>861</v>
      </c>
      <c r="K72">
        <v>1503</v>
      </c>
      <c r="L72">
        <v>26</v>
      </c>
      <c r="M72">
        <v>2016</v>
      </c>
      <c r="N72">
        <v>783</v>
      </c>
      <c r="O72">
        <v>302</v>
      </c>
      <c r="P72">
        <v>868</v>
      </c>
      <c r="Q72">
        <v>2436</v>
      </c>
      <c r="R72">
        <v>768</v>
      </c>
      <c r="S72">
        <v>396</v>
      </c>
      <c r="T72">
        <v>422</v>
      </c>
      <c r="U72">
        <v>844</v>
      </c>
      <c r="V72">
        <v>2173</v>
      </c>
      <c r="W72">
        <v>2828</v>
      </c>
      <c r="X72">
        <v>1856</v>
      </c>
      <c r="Y72">
        <v>77</v>
      </c>
      <c r="Z72">
        <v>1379</v>
      </c>
      <c r="AA72">
        <v>2436</v>
      </c>
      <c r="AB72">
        <v>6362</v>
      </c>
      <c r="AC72">
        <v>4133</v>
      </c>
      <c r="AD72">
        <v>1917</v>
      </c>
      <c r="AE72">
        <v>258</v>
      </c>
      <c r="AF72">
        <v>73</v>
      </c>
      <c r="AG72">
        <v>1754</v>
      </c>
      <c r="AH72">
        <v>1560</v>
      </c>
      <c r="AI72">
        <v>4445</v>
      </c>
    </row>
    <row r="73" spans="1:35" x14ac:dyDescent="0.3">
      <c r="A73" s="3">
        <v>187</v>
      </c>
      <c r="B73">
        <v>253</v>
      </c>
      <c r="C73">
        <v>76</v>
      </c>
      <c r="D73">
        <v>10</v>
      </c>
      <c r="E73">
        <v>1171</v>
      </c>
      <c r="F73">
        <v>451</v>
      </c>
      <c r="G73">
        <v>1929</v>
      </c>
      <c r="H73">
        <v>645</v>
      </c>
      <c r="I73">
        <v>791</v>
      </c>
      <c r="J73">
        <v>1821</v>
      </c>
      <c r="K73">
        <v>455</v>
      </c>
      <c r="L73">
        <v>3715</v>
      </c>
      <c r="M73">
        <v>719</v>
      </c>
      <c r="N73">
        <v>1</v>
      </c>
      <c r="O73">
        <v>1379</v>
      </c>
      <c r="P73">
        <v>1877</v>
      </c>
      <c r="Q73">
        <v>5246</v>
      </c>
      <c r="R73">
        <v>905</v>
      </c>
      <c r="S73">
        <v>1251</v>
      </c>
      <c r="T73">
        <v>753</v>
      </c>
      <c r="U73">
        <v>1210</v>
      </c>
      <c r="V73">
        <v>1032</v>
      </c>
      <c r="W73">
        <v>704</v>
      </c>
      <c r="X73">
        <v>1957</v>
      </c>
      <c r="Y73">
        <v>394</v>
      </c>
      <c r="Z73">
        <v>1178</v>
      </c>
      <c r="AA73">
        <v>4524</v>
      </c>
      <c r="AB73">
        <v>636</v>
      </c>
      <c r="AC73">
        <v>4155</v>
      </c>
      <c r="AD73">
        <v>2139</v>
      </c>
      <c r="AE73">
        <v>211</v>
      </c>
      <c r="AF73">
        <v>99</v>
      </c>
      <c r="AG73">
        <v>1015</v>
      </c>
      <c r="AH73">
        <v>45</v>
      </c>
      <c r="AI73">
        <v>3401</v>
      </c>
    </row>
    <row r="74" spans="1:35" x14ac:dyDescent="0.3">
      <c r="A74" s="3">
        <v>188</v>
      </c>
      <c r="B74">
        <v>490</v>
      </c>
      <c r="C74">
        <v>1684</v>
      </c>
      <c r="D74">
        <v>996</v>
      </c>
      <c r="E74">
        <v>1334</v>
      </c>
      <c r="F74">
        <v>364</v>
      </c>
      <c r="G74">
        <v>964</v>
      </c>
      <c r="H74">
        <v>1017</v>
      </c>
      <c r="I74">
        <v>1543</v>
      </c>
      <c r="J74">
        <v>1521</v>
      </c>
      <c r="K74">
        <v>1368</v>
      </c>
      <c r="L74">
        <v>2495</v>
      </c>
      <c r="M74">
        <v>2284</v>
      </c>
      <c r="N74">
        <v>456</v>
      </c>
      <c r="O74">
        <v>648</v>
      </c>
      <c r="P74">
        <v>7643</v>
      </c>
      <c r="Q74">
        <v>4917</v>
      </c>
      <c r="R74">
        <v>514</v>
      </c>
      <c r="S74">
        <v>2792</v>
      </c>
      <c r="T74">
        <v>3048</v>
      </c>
      <c r="U74">
        <v>1313</v>
      </c>
      <c r="V74">
        <v>411</v>
      </c>
      <c r="W74">
        <v>1180</v>
      </c>
      <c r="X74">
        <v>1474</v>
      </c>
      <c r="Y74">
        <v>218</v>
      </c>
      <c r="Z74">
        <v>3300</v>
      </c>
      <c r="AA74">
        <v>864</v>
      </c>
      <c r="AB74">
        <v>1723</v>
      </c>
      <c r="AC74">
        <v>648</v>
      </c>
      <c r="AD74">
        <v>1853</v>
      </c>
      <c r="AE74">
        <v>1356</v>
      </c>
      <c r="AF74">
        <v>7</v>
      </c>
      <c r="AG74">
        <v>2063</v>
      </c>
      <c r="AH74">
        <v>1962</v>
      </c>
      <c r="AI74">
        <v>1317</v>
      </c>
    </row>
    <row r="75" spans="1:35" x14ac:dyDescent="0.3">
      <c r="A75" s="3">
        <v>189</v>
      </c>
      <c r="B75">
        <v>3679</v>
      </c>
      <c r="C75">
        <v>930</v>
      </c>
      <c r="D75">
        <v>709</v>
      </c>
      <c r="E75">
        <v>833</v>
      </c>
      <c r="F75">
        <v>3178</v>
      </c>
      <c r="G75">
        <v>2382</v>
      </c>
      <c r="H75">
        <v>656</v>
      </c>
      <c r="I75">
        <v>598</v>
      </c>
      <c r="J75">
        <v>2323</v>
      </c>
      <c r="K75">
        <v>291</v>
      </c>
      <c r="L75">
        <v>2060</v>
      </c>
      <c r="M75">
        <v>131</v>
      </c>
      <c r="N75">
        <v>197</v>
      </c>
      <c r="O75">
        <v>1464</v>
      </c>
      <c r="P75">
        <v>2757</v>
      </c>
      <c r="Q75">
        <v>1004</v>
      </c>
      <c r="R75">
        <v>1066</v>
      </c>
      <c r="S75">
        <v>1632</v>
      </c>
      <c r="T75">
        <v>1706</v>
      </c>
      <c r="U75">
        <v>841</v>
      </c>
      <c r="V75">
        <v>700</v>
      </c>
      <c r="W75">
        <v>5</v>
      </c>
      <c r="X75">
        <v>990</v>
      </c>
      <c r="Y75">
        <v>5347</v>
      </c>
      <c r="Z75">
        <v>1727</v>
      </c>
      <c r="AA75">
        <v>439</v>
      </c>
      <c r="AB75">
        <v>4379</v>
      </c>
      <c r="AC75">
        <v>3282</v>
      </c>
      <c r="AD75">
        <v>3351</v>
      </c>
      <c r="AE75">
        <v>516</v>
      </c>
      <c r="AF75">
        <v>1</v>
      </c>
      <c r="AG75">
        <v>1766</v>
      </c>
      <c r="AH75">
        <v>1085</v>
      </c>
      <c r="AI75">
        <v>4294</v>
      </c>
    </row>
    <row r="76" spans="1:35" x14ac:dyDescent="0.3">
      <c r="A76" s="3">
        <v>190</v>
      </c>
      <c r="B76">
        <v>281</v>
      </c>
      <c r="C76">
        <v>3613</v>
      </c>
      <c r="D76">
        <v>2109</v>
      </c>
      <c r="E76">
        <v>5578</v>
      </c>
      <c r="F76">
        <v>1458</v>
      </c>
      <c r="G76">
        <v>1561</v>
      </c>
      <c r="H76">
        <v>164</v>
      </c>
      <c r="I76">
        <v>1707</v>
      </c>
      <c r="J76">
        <v>408</v>
      </c>
      <c r="K76">
        <v>58</v>
      </c>
      <c r="L76">
        <v>1830</v>
      </c>
      <c r="M76">
        <v>511</v>
      </c>
      <c r="N76">
        <v>1710</v>
      </c>
      <c r="O76">
        <v>807</v>
      </c>
      <c r="P76">
        <v>1583</v>
      </c>
      <c r="Q76">
        <v>34</v>
      </c>
      <c r="R76">
        <v>1197</v>
      </c>
      <c r="S76">
        <v>4175</v>
      </c>
      <c r="T76">
        <v>2758</v>
      </c>
      <c r="U76">
        <v>1987</v>
      </c>
      <c r="V76">
        <v>294</v>
      </c>
      <c r="W76">
        <v>1324</v>
      </c>
      <c r="X76">
        <v>1012</v>
      </c>
      <c r="Y76">
        <v>2921</v>
      </c>
      <c r="Z76">
        <v>882</v>
      </c>
      <c r="AA76">
        <v>332</v>
      </c>
      <c r="AB76">
        <v>1735</v>
      </c>
      <c r="AC76">
        <v>1772</v>
      </c>
      <c r="AD76">
        <v>1320</v>
      </c>
      <c r="AE76">
        <v>1512</v>
      </c>
      <c r="AF76">
        <v>233</v>
      </c>
      <c r="AG76">
        <v>430</v>
      </c>
      <c r="AH76">
        <v>3713</v>
      </c>
      <c r="AI76">
        <v>7707</v>
      </c>
    </row>
    <row r="77" spans="1:35" x14ac:dyDescent="0.3">
      <c r="A77" s="3">
        <v>191</v>
      </c>
      <c r="B77">
        <v>20</v>
      </c>
      <c r="C77">
        <v>4184</v>
      </c>
      <c r="D77">
        <v>1482</v>
      </c>
      <c r="E77">
        <v>3682</v>
      </c>
      <c r="F77">
        <v>562</v>
      </c>
      <c r="G77">
        <v>861</v>
      </c>
      <c r="H77">
        <v>1613</v>
      </c>
      <c r="I77">
        <v>327</v>
      </c>
      <c r="J77">
        <v>4559</v>
      </c>
      <c r="K77">
        <v>552</v>
      </c>
      <c r="L77">
        <v>614</v>
      </c>
      <c r="M77">
        <v>2556</v>
      </c>
      <c r="N77">
        <v>1028</v>
      </c>
      <c r="O77">
        <v>307</v>
      </c>
      <c r="P77">
        <v>58</v>
      </c>
      <c r="Q77">
        <v>248</v>
      </c>
      <c r="R77">
        <v>337</v>
      </c>
      <c r="S77">
        <v>450</v>
      </c>
      <c r="T77">
        <v>1223</v>
      </c>
      <c r="U77">
        <v>421</v>
      </c>
      <c r="V77">
        <v>568</v>
      </c>
      <c r="W77">
        <v>6550</v>
      </c>
      <c r="X77">
        <v>1140</v>
      </c>
      <c r="Y77">
        <v>4001</v>
      </c>
      <c r="Z77">
        <v>971</v>
      </c>
      <c r="AA77">
        <v>305</v>
      </c>
      <c r="AB77">
        <v>1336</v>
      </c>
      <c r="AC77">
        <v>1609</v>
      </c>
      <c r="AD77">
        <v>1303</v>
      </c>
      <c r="AE77">
        <v>4042</v>
      </c>
      <c r="AF77">
        <v>4225</v>
      </c>
      <c r="AG77">
        <v>305</v>
      </c>
      <c r="AH77">
        <v>1360</v>
      </c>
      <c r="AI77">
        <v>1487</v>
      </c>
    </row>
    <row r="78" spans="1:35" x14ac:dyDescent="0.3">
      <c r="A78" s="3">
        <v>192</v>
      </c>
      <c r="B78">
        <v>1329</v>
      </c>
      <c r="C78">
        <v>2423</v>
      </c>
      <c r="D78">
        <v>216</v>
      </c>
      <c r="E78">
        <v>2755</v>
      </c>
      <c r="F78">
        <v>633</v>
      </c>
      <c r="G78">
        <v>1984</v>
      </c>
      <c r="H78">
        <v>2720</v>
      </c>
      <c r="I78">
        <v>70</v>
      </c>
      <c r="J78">
        <v>1534</v>
      </c>
      <c r="K78">
        <v>1053</v>
      </c>
      <c r="L78">
        <v>1392</v>
      </c>
      <c r="M78">
        <v>282</v>
      </c>
      <c r="N78">
        <v>2185</v>
      </c>
      <c r="O78">
        <v>138</v>
      </c>
      <c r="P78">
        <v>2747</v>
      </c>
      <c r="Q78">
        <v>1701</v>
      </c>
      <c r="R78">
        <v>555</v>
      </c>
      <c r="S78">
        <v>2005</v>
      </c>
      <c r="T78">
        <v>190</v>
      </c>
      <c r="U78">
        <v>1570</v>
      </c>
      <c r="V78">
        <v>257</v>
      </c>
      <c r="W78">
        <v>2791</v>
      </c>
      <c r="X78">
        <v>932</v>
      </c>
      <c r="Y78">
        <v>3293</v>
      </c>
      <c r="Z78">
        <v>1304</v>
      </c>
      <c r="AA78">
        <v>1081</v>
      </c>
      <c r="AB78">
        <v>3522</v>
      </c>
      <c r="AC78">
        <v>2708</v>
      </c>
      <c r="AD78">
        <v>1446</v>
      </c>
      <c r="AE78">
        <v>913</v>
      </c>
      <c r="AF78">
        <v>1384</v>
      </c>
      <c r="AG78">
        <v>1680</v>
      </c>
      <c r="AH78">
        <v>1956</v>
      </c>
      <c r="AI78">
        <v>3211</v>
      </c>
    </row>
    <row r="79" spans="1:35" x14ac:dyDescent="0.3">
      <c r="A79" s="3">
        <v>193</v>
      </c>
      <c r="B79">
        <v>1683</v>
      </c>
      <c r="C79">
        <v>1499</v>
      </c>
      <c r="D79">
        <v>222</v>
      </c>
      <c r="E79">
        <v>1233</v>
      </c>
      <c r="F79">
        <v>602</v>
      </c>
      <c r="G79">
        <v>2608</v>
      </c>
      <c r="H79">
        <v>3422</v>
      </c>
      <c r="I79">
        <v>854</v>
      </c>
      <c r="J79">
        <v>1172</v>
      </c>
      <c r="K79">
        <v>2385</v>
      </c>
      <c r="L79">
        <v>2217</v>
      </c>
      <c r="M79">
        <v>62</v>
      </c>
      <c r="N79">
        <v>103</v>
      </c>
      <c r="O79">
        <v>44</v>
      </c>
      <c r="P79">
        <v>723</v>
      </c>
      <c r="Q79">
        <v>431</v>
      </c>
      <c r="R79">
        <v>802</v>
      </c>
      <c r="S79">
        <v>1875</v>
      </c>
      <c r="T79">
        <v>2025</v>
      </c>
      <c r="U79">
        <v>438</v>
      </c>
      <c r="V79">
        <v>272</v>
      </c>
      <c r="W79">
        <v>5742</v>
      </c>
      <c r="X79">
        <v>787</v>
      </c>
      <c r="Y79">
        <v>2178</v>
      </c>
      <c r="Z79">
        <v>1452</v>
      </c>
      <c r="AA79">
        <v>2720</v>
      </c>
      <c r="AB79">
        <v>1567</v>
      </c>
      <c r="AC79">
        <v>5650</v>
      </c>
      <c r="AD79">
        <v>1670</v>
      </c>
      <c r="AE79">
        <v>350</v>
      </c>
      <c r="AF79">
        <v>702</v>
      </c>
      <c r="AG79">
        <v>865</v>
      </c>
      <c r="AH79">
        <v>2062</v>
      </c>
      <c r="AI79">
        <v>2519</v>
      </c>
    </row>
    <row r="80" spans="1:35" x14ac:dyDescent="0.3">
      <c r="A80" s="3">
        <v>194</v>
      </c>
      <c r="B80">
        <v>1021</v>
      </c>
      <c r="C80">
        <v>1190</v>
      </c>
      <c r="D80">
        <v>839</v>
      </c>
      <c r="E80">
        <v>2907</v>
      </c>
      <c r="F80">
        <v>2045</v>
      </c>
      <c r="G80">
        <v>287</v>
      </c>
      <c r="H80">
        <v>1307</v>
      </c>
      <c r="I80">
        <v>927</v>
      </c>
      <c r="J80">
        <v>418</v>
      </c>
      <c r="K80">
        <v>971</v>
      </c>
      <c r="L80">
        <v>3856</v>
      </c>
      <c r="M80">
        <v>1356</v>
      </c>
      <c r="N80">
        <v>754</v>
      </c>
      <c r="O80">
        <v>936</v>
      </c>
      <c r="P80">
        <v>5533</v>
      </c>
      <c r="Q80">
        <v>1187</v>
      </c>
      <c r="R80">
        <v>1732</v>
      </c>
      <c r="S80">
        <v>159</v>
      </c>
      <c r="T80">
        <v>1734</v>
      </c>
      <c r="U80">
        <v>1990</v>
      </c>
      <c r="V80">
        <v>1417</v>
      </c>
      <c r="W80">
        <v>2611</v>
      </c>
      <c r="X80">
        <v>643</v>
      </c>
      <c r="Y80">
        <v>931</v>
      </c>
      <c r="Z80">
        <v>1715</v>
      </c>
      <c r="AA80">
        <v>4582</v>
      </c>
      <c r="AB80">
        <v>2498</v>
      </c>
      <c r="AC80">
        <v>2907</v>
      </c>
      <c r="AD80">
        <v>1310</v>
      </c>
      <c r="AE80">
        <v>1027</v>
      </c>
      <c r="AF80">
        <v>373</v>
      </c>
      <c r="AG80">
        <v>1121</v>
      </c>
      <c r="AH80">
        <v>2074</v>
      </c>
      <c r="AI80">
        <v>1125</v>
      </c>
    </row>
    <row r="81" spans="1:35" x14ac:dyDescent="0.3">
      <c r="A81" s="3">
        <v>195</v>
      </c>
      <c r="B81">
        <v>4210</v>
      </c>
      <c r="C81">
        <v>548</v>
      </c>
      <c r="D81">
        <v>560</v>
      </c>
      <c r="E81">
        <v>1979</v>
      </c>
      <c r="F81">
        <v>1552</v>
      </c>
      <c r="G81">
        <v>931</v>
      </c>
      <c r="H81">
        <v>1468</v>
      </c>
      <c r="I81">
        <v>477</v>
      </c>
      <c r="J81">
        <v>314</v>
      </c>
      <c r="K81">
        <v>167</v>
      </c>
      <c r="L81">
        <v>3646</v>
      </c>
      <c r="M81">
        <v>1202</v>
      </c>
      <c r="N81">
        <v>205</v>
      </c>
      <c r="O81">
        <v>3217</v>
      </c>
      <c r="P81">
        <v>2378</v>
      </c>
      <c r="Q81">
        <v>1605</v>
      </c>
      <c r="R81">
        <v>305</v>
      </c>
      <c r="S81">
        <v>318</v>
      </c>
      <c r="T81">
        <v>4660</v>
      </c>
      <c r="U81">
        <v>3305</v>
      </c>
      <c r="V81">
        <v>26</v>
      </c>
      <c r="W81">
        <v>2313</v>
      </c>
      <c r="X81">
        <v>742</v>
      </c>
      <c r="Y81">
        <v>2512</v>
      </c>
      <c r="Z81">
        <v>937</v>
      </c>
      <c r="AA81">
        <v>5101</v>
      </c>
      <c r="AB81">
        <v>2033</v>
      </c>
      <c r="AC81">
        <v>3416</v>
      </c>
      <c r="AD81">
        <v>234</v>
      </c>
      <c r="AE81">
        <v>1429</v>
      </c>
      <c r="AF81">
        <v>254</v>
      </c>
      <c r="AG81">
        <v>1429</v>
      </c>
      <c r="AH81">
        <v>500</v>
      </c>
      <c r="AI81">
        <v>750</v>
      </c>
    </row>
    <row r="82" spans="1:35" x14ac:dyDescent="0.3">
      <c r="A82" s="3">
        <v>196</v>
      </c>
      <c r="B82">
        <v>255</v>
      </c>
      <c r="C82">
        <v>94</v>
      </c>
      <c r="D82">
        <v>3556</v>
      </c>
      <c r="E82">
        <v>2595</v>
      </c>
      <c r="F82">
        <v>1635</v>
      </c>
      <c r="G82">
        <v>842</v>
      </c>
      <c r="H82">
        <v>1806</v>
      </c>
      <c r="I82">
        <v>661</v>
      </c>
      <c r="J82">
        <v>727</v>
      </c>
      <c r="K82">
        <v>349</v>
      </c>
      <c r="L82">
        <v>631</v>
      </c>
      <c r="M82">
        <v>1369</v>
      </c>
      <c r="N82">
        <v>404</v>
      </c>
      <c r="O82">
        <v>2134</v>
      </c>
      <c r="P82">
        <v>528</v>
      </c>
      <c r="Q82">
        <v>1148</v>
      </c>
      <c r="R82">
        <v>49</v>
      </c>
      <c r="S82">
        <v>275</v>
      </c>
      <c r="T82">
        <v>1756</v>
      </c>
      <c r="U82">
        <v>1824</v>
      </c>
      <c r="V82">
        <v>1131</v>
      </c>
      <c r="W82">
        <v>176</v>
      </c>
      <c r="X82">
        <v>255</v>
      </c>
      <c r="Y82">
        <v>816</v>
      </c>
      <c r="Z82">
        <v>679</v>
      </c>
      <c r="AA82">
        <v>3404</v>
      </c>
      <c r="AB82">
        <v>1138</v>
      </c>
      <c r="AC82">
        <v>2322</v>
      </c>
      <c r="AD82">
        <v>974</v>
      </c>
      <c r="AE82">
        <v>784</v>
      </c>
      <c r="AF82">
        <v>2212</v>
      </c>
      <c r="AG82">
        <v>877</v>
      </c>
      <c r="AH82">
        <v>1733</v>
      </c>
      <c r="AI82">
        <v>861</v>
      </c>
    </row>
    <row r="83" spans="1:35" x14ac:dyDescent="0.3">
      <c r="A83" s="3">
        <v>197</v>
      </c>
      <c r="B83">
        <v>72</v>
      </c>
      <c r="C83">
        <v>601</v>
      </c>
      <c r="D83">
        <v>4923</v>
      </c>
      <c r="E83">
        <v>1562</v>
      </c>
      <c r="F83">
        <v>1332</v>
      </c>
      <c r="G83">
        <v>814</v>
      </c>
      <c r="H83">
        <v>731</v>
      </c>
      <c r="I83">
        <v>241</v>
      </c>
      <c r="J83">
        <v>1131</v>
      </c>
      <c r="K83">
        <v>785</v>
      </c>
      <c r="L83">
        <v>1935</v>
      </c>
      <c r="M83">
        <v>2425</v>
      </c>
      <c r="N83">
        <v>403</v>
      </c>
      <c r="O83">
        <v>2716</v>
      </c>
      <c r="P83">
        <v>5315</v>
      </c>
      <c r="Q83">
        <v>239</v>
      </c>
      <c r="R83">
        <v>2629</v>
      </c>
      <c r="S83">
        <v>969</v>
      </c>
      <c r="T83">
        <v>1972</v>
      </c>
      <c r="U83">
        <v>1255</v>
      </c>
      <c r="V83">
        <v>1782</v>
      </c>
      <c r="W83">
        <v>125</v>
      </c>
      <c r="X83">
        <v>970</v>
      </c>
      <c r="Y83">
        <v>3722</v>
      </c>
      <c r="Z83">
        <v>77</v>
      </c>
      <c r="AA83">
        <v>1636</v>
      </c>
      <c r="AB83">
        <v>1990</v>
      </c>
      <c r="AC83">
        <v>1255</v>
      </c>
      <c r="AD83">
        <v>47</v>
      </c>
      <c r="AE83">
        <v>2546</v>
      </c>
      <c r="AF83">
        <v>1531</v>
      </c>
      <c r="AG83">
        <v>4905</v>
      </c>
      <c r="AH83">
        <v>2026</v>
      </c>
      <c r="AI83">
        <v>5522</v>
      </c>
    </row>
    <row r="84" spans="1:35" x14ac:dyDescent="0.3">
      <c r="A84" s="3">
        <v>198</v>
      </c>
      <c r="B84">
        <v>175</v>
      </c>
      <c r="C84">
        <v>472</v>
      </c>
      <c r="D84">
        <v>1751</v>
      </c>
      <c r="E84">
        <v>2638</v>
      </c>
      <c r="F84">
        <v>1028</v>
      </c>
      <c r="G84">
        <v>146</v>
      </c>
      <c r="H84">
        <v>461</v>
      </c>
      <c r="I84">
        <v>1069</v>
      </c>
      <c r="J84">
        <v>1053</v>
      </c>
      <c r="K84">
        <v>595</v>
      </c>
      <c r="L84">
        <v>606</v>
      </c>
      <c r="M84">
        <v>729</v>
      </c>
      <c r="N84">
        <v>25</v>
      </c>
      <c r="O84">
        <v>2610</v>
      </c>
      <c r="P84">
        <v>112</v>
      </c>
      <c r="Q84">
        <v>1255</v>
      </c>
      <c r="R84">
        <v>1583</v>
      </c>
      <c r="S84">
        <v>450</v>
      </c>
      <c r="T84">
        <v>273</v>
      </c>
      <c r="U84">
        <v>623</v>
      </c>
      <c r="V84">
        <v>139</v>
      </c>
      <c r="W84">
        <v>688</v>
      </c>
      <c r="X84">
        <v>2013</v>
      </c>
      <c r="Y84">
        <v>2357</v>
      </c>
      <c r="Z84">
        <v>552</v>
      </c>
      <c r="AA84">
        <v>1915</v>
      </c>
      <c r="AB84">
        <v>3347</v>
      </c>
      <c r="AC84">
        <v>5061</v>
      </c>
      <c r="AD84">
        <v>1386</v>
      </c>
      <c r="AE84">
        <v>2207</v>
      </c>
      <c r="AF84">
        <v>197</v>
      </c>
      <c r="AG84">
        <v>1550</v>
      </c>
      <c r="AH84">
        <v>618</v>
      </c>
      <c r="AI84">
        <v>3153</v>
      </c>
    </row>
    <row r="85" spans="1:35" x14ac:dyDescent="0.3">
      <c r="A85" s="3">
        <v>199</v>
      </c>
      <c r="B85">
        <v>190</v>
      </c>
      <c r="C85">
        <v>937</v>
      </c>
      <c r="D85">
        <v>940</v>
      </c>
      <c r="E85">
        <v>1481</v>
      </c>
      <c r="F85">
        <v>2819</v>
      </c>
      <c r="G85">
        <v>221</v>
      </c>
      <c r="H85">
        <v>2828</v>
      </c>
      <c r="I85">
        <v>1166</v>
      </c>
      <c r="J85">
        <v>1913</v>
      </c>
      <c r="K85">
        <v>1488</v>
      </c>
      <c r="L85">
        <v>2216</v>
      </c>
      <c r="M85">
        <v>183</v>
      </c>
      <c r="N85">
        <v>1353</v>
      </c>
      <c r="O85">
        <v>984</v>
      </c>
      <c r="P85">
        <v>2524</v>
      </c>
      <c r="Q85">
        <v>2099</v>
      </c>
      <c r="R85">
        <v>1001</v>
      </c>
      <c r="S85">
        <v>668</v>
      </c>
      <c r="T85">
        <v>2065</v>
      </c>
      <c r="U85">
        <v>1301</v>
      </c>
      <c r="V85">
        <v>143</v>
      </c>
      <c r="W85">
        <v>4395</v>
      </c>
      <c r="X85">
        <v>35</v>
      </c>
      <c r="Y85">
        <v>1667</v>
      </c>
      <c r="Z85">
        <v>819</v>
      </c>
      <c r="AA85">
        <v>663</v>
      </c>
      <c r="AB85">
        <v>6097</v>
      </c>
      <c r="AC85">
        <v>794</v>
      </c>
      <c r="AD85">
        <v>3977</v>
      </c>
      <c r="AE85">
        <v>1277</v>
      </c>
      <c r="AF85">
        <v>175</v>
      </c>
      <c r="AG85">
        <v>2798</v>
      </c>
      <c r="AH85">
        <v>244</v>
      </c>
      <c r="AI85">
        <v>2332</v>
      </c>
    </row>
    <row r="86" spans="1:35" x14ac:dyDescent="0.3">
      <c r="A86" s="3">
        <v>200</v>
      </c>
      <c r="B86">
        <v>519</v>
      </c>
      <c r="C86">
        <v>1156</v>
      </c>
      <c r="D86">
        <v>1398</v>
      </c>
      <c r="E86">
        <v>1894</v>
      </c>
      <c r="F86">
        <v>12856</v>
      </c>
      <c r="G86">
        <v>1627</v>
      </c>
      <c r="H86">
        <v>2208</v>
      </c>
      <c r="I86">
        <v>339</v>
      </c>
      <c r="J86">
        <v>3262</v>
      </c>
      <c r="K86">
        <v>831</v>
      </c>
      <c r="L86">
        <v>561</v>
      </c>
      <c r="M86">
        <v>3689</v>
      </c>
      <c r="N86">
        <v>776</v>
      </c>
      <c r="O86">
        <v>2432</v>
      </c>
      <c r="P86">
        <v>0</v>
      </c>
      <c r="Q86">
        <v>2203</v>
      </c>
      <c r="R86">
        <v>1173</v>
      </c>
      <c r="S86">
        <v>2549</v>
      </c>
      <c r="T86">
        <v>2199</v>
      </c>
      <c r="U86">
        <v>1141</v>
      </c>
      <c r="V86">
        <v>1455</v>
      </c>
      <c r="W86">
        <v>1499</v>
      </c>
      <c r="X86">
        <v>465</v>
      </c>
      <c r="Y86">
        <v>5826</v>
      </c>
      <c r="Z86">
        <v>975</v>
      </c>
      <c r="AA86">
        <v>1154</v>
      </c>
      <c r="AB86">
        <v>2311</v>
      </c>
      <c r="AC86">
        <v>2522</v>
      </c>
      <c r="AD86">
        <v>2219</v>
      </c>
      <c r="AE86">
        <v>1829</v>
      </c>
      <c r="AF86">
        <v>477</v>
      </c>
      <c r="AG86">
        <v>2503</v>
      </c>
      <c r="AH86">
        <v>3557</v>
      </c>
      <c r="AI86">
        <v>5211</v>
      </c>
    </row>
    <row r="87" spans="1:35" x14ac:dyDescent="0.3">
      <c r="A87" s="3">
        <v>201</v>
      </c>
      <c r="B87">
        <v>1714</v>
      </c>
      <c r="C87">
        <v>1017</v>
      </c>
      <c r="D87">
        <v>3513</v>
      </c>
      <c r="E87">
        <v>911</v>
      </c>
      <c r="F87">
        <v>877</v>
      </c>
      <c r="G87">
        <v>966</v>
      </c>
      <c r="H87">
        <v>3174</v>
      </c>
      <c r="I87">
        <v>1650</v>
      </c>
      <c r="J87">
        <v>443</v>
      </c>
      <c r="K87">
        <v>638</v>
      </c>
      <c r="L87">
        <v>308</v>
      </c>
      <c r="M87">
        <v>3887</v>
      </c>
      <c r="N87">
        <v>260</v>
      </c>
      <c r="O87">
        <v>2365</v>
      </c>
      <c r="P87">
        <v>609</v>
      </c>
      <c r="Q87">
        <v>1492</v>
      </c>
      <c r="R87">
        <v>41</v>
      </c>
      <c r="S87">
        <v>627</v>
      </c>
      <c r="T87">
        <v>202</v>
      </c>
      <c r="U87">
        <v>443</v>
      </c>
      <c r="V87">
        <v>610</v>
      </c>
      <c r="W87">
        <v>1813</v>
      </c>
      <c r="X87">
        <v>4</v>
      </c>
      <c r="Y87">
        <v>2138</v>
      </c>
      <c r="Z87">
        <v>2906</v>
      </c>
      <c r="AA87">
        <v>2085</v>
      </c>
      <c r="AB87">
        <v>6429</v>
      </c>
      <c r="AC87">
        <v>3239</v>
      </c>
      <c r="AD87">
        <v>1474</v>
      </c>
      <c r="AE87">
        <v>734</v>
      </c>
      <c r="AF87">
        <v>352</v>
      </c>
      <c r="AG87">
        <v>21</v>
      </c>
      <c r="AH87">
        <v>177</v>
      </c>
      <c r="AI87">
        <v>4033</v>
      </c>
    </row>
    <row r="88" spans="1:35" x14ac:dyDescent="0.3">
      <c r="A88" s="3">
        <v>202</v>
      </c>
      <c r="B88">
        <v>717</v>
      </c>
      <c r="C88">
        <v>897</v>
      </c>
      <c r="D88">
        <v>2606</v>
      </c>
      <c r="E88">
        <v>2587</v>
      </c>
      <c r="F88">
        <v>4813</v>
      </c>
      <c r="G88">
        <v>1176</v>
      </c>
      <c r="H88">
        <v>487</v>
      </c>
      <c r="I88">
        <v>58</v>
      </c>
      <c r="J88">
        <v>344</v>
      </c>
      <c r="K88">
        <v>1125</v>
      </c>
      <c r="L88">
        <v>69</v>
      </c>
      <c r="M88">
        <v>311</v>
      </c>
      <c r="N88">
        <v>154</v>
      </c>
      <c r="O88">
        <v>1611</v>
      </c>
      <c r="P88">
        <v>172</v>
      </c>
      <c r="Q88">
        <v>1504</v>
      </c>
      <c r="R88">
        <v>1009</v>
      </c>
      <c r="S88">
        <v>700</v>
      </c>
      <c r="T88">
        <v>2496</v>
      </c>
      <c r="U88">
        <v>1855</v>
      </c>
      <c r="V88">
        <v>410</v>
      </c>
      <c r="W88">
        <v>744</v>
      </c>
      <c r="X88">
        <v>1604</v>
      </c>
      <c r="Y88">
        <v>2091</v>
      </c>
      <c r="Z88">
        <v>1184</v>
      </c>
      <c r="AA88">
        <v>2324</v>
      </c>
      <c r="AB88">
        <v>3083</v>
      </c>
      <c r="AC88">
        <v>3165</v>
      </c>
      <c r="AD88">
        <v>572</v>
      </c>
      <c r="AE88">
        <v>1416</v>
      </c>
      <c r="AF88">
        <v>2207</v>
      </c>
      <c r="AG88">
        <v>1360</v>
      </c>
      <c r="AH88">
        <v>1625</v>
      </c>
      <c r="AI88">
        <v>1406</v>
      </c>
    </row>
    <row r="89" spans="1:35" x14ac:dyDescent="0.3">
      <c r="A89" s="3">
        <v>203</v>
      </c>
      <c r="B89">
        <v>64</v>
      </c>
      <c r="C89">
        <v>110</v>
      </c>
      <c r="D89">
        <v>3713</v>
      </c>
      <c r="E89">
        <v>641</v>
      </c>
      <c r="F89">
        <v>3670</v>
      </c>
      <c r="G89">
        <v>1369</v>
      </c>
      <c r="H89">
        <v>1075</v>
      </c>
      <c r="I89">
        <v>869</v>
      </c>
      <c r="J89">
        <v>2402</v>
      </c>
      <c r="K89">
        <v>566</v>
      </c>
      <c r="L89">
        <v>1680</v>
      </c>
      <c r="M89">
        <v>1769</v>
      </c>
      <c r="N89">
        <v>235</v>
      </c>
      <c r="O89">
        <v>2117</v>
      </c>
      <c r="P89">
        <v>19</v>
      </c>
      <c r="Q89">
        <v>2469</v>
      </c>
      <c r="R89">
        <v>1918</v>
      </c>
      <c r="S89">
        <v>808</v>
      </c>
      <c r="T89">
        <v>2033</v>
      </c>
      <c r="U89">
        <v>1206</v>
      </c>
      <c r="V89">
        <v>2</v>
      </c>
      <c r="W89">
        <v>1881</v>
      </c>
      <c r="X89">
        <v>1159</v>
      </c>
      <c r="Y89">
        <v>1347</v>
      </c>
      <c r="Z89">
        <v>508</v>
      </c>
      <c r="AA89">
        <v>1654</v>
      </c>
      <c r="AB89">
        <v>1587</v>
      </c>
      <c r="AC89">
        <v>683</v>
      </c>
      <c r="AD89">
        <v>134</v>
      </c>
      <c r="AE89">
        <v>299</v>
      </c>
      <c r="AF89">
        <v>68</v>
      </c>
      <c r="AG89">
        <v>4979</v>
      </c>
      <c r="AH89">
        <v>934</v>
      </c>
      <c r="AI89">
        <v>2530</v>
      </c>
    </row>
    <row r="90" spans="1:35" x14ac:dyDescent="0.3">
      <c r="A90" s="3">
        <v>204</v>
      </c>
      <c r="B90">
        <v>0</v>
      </c>
      <c r="C90">
        <v>951</v>
      </c>
      <c r="D90">
        <v>619</v>
      </c>
      <c r="E90">
        <v>229</v>
      </c>
      <c r="F90">
        <v>558</v>
      </c>
      <c r="G90">
        <v>264</v>
      </c>
      <c r="H90">
        <v>1457</v>
      </c>
      <c r="I90">
        <v>225</v>
      </c>
      <c r="J90">
        <v>1222</v>
      </c>
      <c r="K90">
        <v>765</v>
      </c>
      <c r="L90">
        <v>208</v>
      </c>
      <c r="M90">
        <v>2493</v>
      </c>
      <c r="N90">
        <v>1335</v>
      </c>
      <c r="O90">
        <v>603</v>
      </c>
      <c r="P90">
        <v>821</v>
      </c>
      <c r="Q90">
        <v>3263</v>
      </c>
      <c r="R90">
        <v>274</v>
      </c>
      <c r="S90">
        <v>930</v>
      </c>
      <c r="T90">
        <v>3276</v>
      </c>
      <c r="U90">
        <v>4679</v>
      </c>
      <c r="V90">
        <v>80</v>
      </c>
      <c r="W90">
        <v>1716</v>
      </c>
      <c r="X90">
        <v>371</v>
      </c>
      <c r="Y90">
        <v>3384</v>
      </c>
      <c r="Z90">
        <v>552</v>
      </c>
      <c r="AA90">
        <v>2048</v>
      </c>
      <c r="AB90">
        <v>1104</v>
      </c>
      <c r="AC90">
        <v>707</v>
      </c>
      <c r="AD90">
        <v>1060</v>
      </c>
      <c r="AE90">
        <v>301</v>
      </c>
      <c r="AF90">
        <v>225</v>
      </c>
      <c r="AG90">
        <v>2472</v>
      </c>
      <c r="AH90">
        <v>967</v>
      </c>
      <c r="AI90">
        <v>2589</v>
      </c>
    </row>
    <row r="91" spans="1:35" x14ac:dyDescent="0.3">
      <c r="A91" s="3">
        <v>205</v>
      </c>
      <c r="B91">
        <v>2275</v>
      </c>
      <c r="C91">
        <v>70</v>
      </c>
      <c r="D91">
        <v>1366</v>
      </c>
      <c r="E91">
        <v>500</v>
      </c>
      <c r="F91">
        <v>3597</v>
      </c>
      <c r="G91">
        <v>1362</v>
      </c>
      <c r="H91">
        <v>2444</v>
      </c>
      <c r="I91">
        <v>432</v>
      </c>
      <c r="J91">
        <v>397</v>
      </c>
      <c r="K91">
        <v>637</v>
      </c>
      <c r="L91">
        <v>224</v>
      </c>
      <c r="M91">
        <v>214</v>
      </c>
      <c r="N91">
        <v>374</v>
      </c>
      <c r="O91">
        <v>331</v>
      </c>
      <c r="P91">
        <v>503</v>
      </c>
      <c r="Q91">
        <v>2383</v>
      </c>
      <c r="R91">
        <v>548</v>
      </c>
      <c r="S91">
        <v>726</v>
      </c>
      <c r="T91">
        <v>427</v>
      </c>
      <c r="U91">
        <v>670</v>
      </c>
      <c r="V91">
        <v>26</v>
      </c>
      <c r="W91">
        <v>1328</v>
      </c>
      <c r="X91">
        <v>721</v>
      </c>
      <c r="Y91">
        <v>621</v>
      </c>
      <c r="Z91">
        <v>199</v>
      </c>
      <c r="AA91">
        <v>1780</v>
      </c>
      <c r="AB91">
        <v>2216</v>
      </c>
      <c r="AC91">
        <v>2150</v>
      </c>
      <c r="AD91">
        <v>2733</v>
      </c>
      <c r="AE91">
        <v>176</v>
      </c>
      <c r="AF91">
        <v>309</v>
      </c>
      <c r="AG91">
        <v>755</v>
      </c>
      <c r="AH91">
        <v>571</v>
      </c>
      <c r="AI91">
        <v>1539</v>
      </c>
    </row>
    <row r="92" spans="1:35" x14ac:dyDescent="0.3">
      <c r="A92" s="3">
        <v>206</v>
      </c>
      <c r="B92">
        <v>4</v>
      </c>
      <c r="C92">
        <v>2758</v>
      </c>
      <c r="D92">
        <v>341</v>
      </c>
      <c r="E92">
        <v>101</v>
      </c>
      <c r="F92">
        <v>754</v>
      </c>
      <c r="G92">
        <v>901</v>
      </c>
      <c r="H92">
        <v>1848</v>
      </c>
      <c r="I92">
        <v>1938</v>
      </c>
      <c r="J92">
        <v>818</v>
      </c>
      <c r="K92">
        <v>699</v>
      </c>
      <c r="L92">
        <v>112</v>
      </c>
      <c r="M92">
        <v>67</v>
      </c>
      <c r="N92">
        <v>19</v>
      </c>
      <c r="O92">
        <v>1410</v>
      </c>
      <c r="P92">
        <v>15</v>
      </c>
      <c r="Q92">
        <v>2121</v>
      </c>
      <c r="R92">
        <v>2350</v>
      </c>
      <c r="S92">
        <v>188</v>
      </c>
      <c r="T92">
        <v>4285</v>
      </c>
      <c r="U92">
        <v>1370</v>
      </c>
      <c r="V92" s="17">
        <v>627.28325027168898</v>
      </c>
      <c r="W92">
        <v>1212</v>
      </c>
      <c r="X92">
        <v>3469</v>
      </c>
      <c r="Y92">
        <v>789</v>
      </c>
      <c r="Z92">
        <v>657</v>
      </c>
      <c r="AA92">
        <v>700</v>
      </c>
      <c r="AB92">
        <v>2210</v>
      </c>
      <c r="AC92">
        <v>2030</v>
      </c>
      <c r="AD92">
        <v>396</v>
      </c>
      <c r="AE92">
        <v>1464</v>
      </c>
      <c r="AF92">
        <v>733</v>
      </c>
      <c r="AG92">
        <v>987</v>
      </c>
      <c r="AH92">
        <v>1430</v>
      </c>
      <c r="AI92">
        <v>2444</v>
      </c>
    </row>
    <row r="93" spans="1:35" x14ac:dyDescent="0.3">
      <c r="A93" s="3">
        <v>207</v>
      </c>
      <c r="B93">
        <v>3378</v>
      </c>
      <c r="C93">
        <v>1649</v>
      </c>
      <c r="D93">
        <v>280</v>
      </c>
      <c r="E93">
        <v>578</v>
      </c>
      <c r="F93">
        <v>409</v>
      </c>
      <c r="G93">
        <v>1374</v>
      </c>
      <c r="H93">
        <v>2313</v>
      </c>
      <c r="I93">
        <v>122</v>
      </c>
      <c r="J93">
        <v>304</v>
      </c>
      <c r="K93">
        <v>847</v>
      </c>
      <c r="L93">
        <v>220</v>
      </c>
      <c r="M93">
        <v>784</v>
      </c>
      <c r="N93">
        <v>434</v>
      </c>
      <c r="O93">
        <v>1530</v>
      </c>
      <c r="P93">
        <v>203</v>
      </c>
      <c r="Q93">
        <v>2286</v>
      </c>
      <c r="R93">
        <v>569</v>
      </c>
      <c r="S93">
        <v>216</v>
      </c>
      <c r="T93">
        <v>2658</v>
      </c>
      <c r="U93">
        <v>430</v>
      </c>
      <c r="V93">
        <v>622.56243682564696</v>
      </c>
      <c r="W93">
        <v>2733</v>
      </c>
      <c r="X93">
        <v>1148</v>
      </c>
      <c r="Y93">
        <v>788</v>
      </c>
      <c r="Z93">
        <v>3074</v>
      </c>
      <c r="AA93">
        <v>3110</v>
      </c>
      <c r="AB93">
        <v>3527</v>
      </c>
      <c r="AC93">
        <v>1292</v>
      </c>
      <c r="AD93">
        <v>461</v>
      </c>
      <c r="AE93">
        <v>1069</v>
      </c>
      <c r="AF93">
        <v>644</v>
      </c>
      <c r="AG93">
        <v>1588</v>
      </c>
      <c r="AH93">
        <v>2882</v>
      </c>
      <c r="AI93">
        <v>1058</v>
      </c>
    </row>
    <row r="94" spans="1:35" x14ac:dyDescent="0.3">
      <c r="A94" s="3">
        <v>208</v>
      </c>
      <c r="B94">
        <v>484</v>
      </c>
      <c r="C94">
        <v>1136</v>
      </c>
      <c r="D94">
        <v>1118</v>
      </c>
      <c r="E94">
        <v>300</v>
      </c>
      <c r="F94">
        <v>497</v>
      </c>
      <c r="G94">
        <v>1259</v>
      </c>
      <c r="H94">
        <v>2443</v>
      </c>
      <c r="I94">
        <v>554</v>
      </c>
      <c r="J94">
        <v>784</v>
      </c>
      <c r="K94">
        <v>973</v>
      </c>
      <c r="L94">
        <v>710</v>
      </c>
      <c r="M94">
        <v>1977</v>
      </c>
      <c r="N94">
        <v>1378</v>
      </c>
      <c r="O94">
        <v>1453</v>
      </c>
      <c r="P94">
        <v>97</v>
      </c>
      <c r="Q94">
        <v>730</v>
      </c>
      <c r="R94">
        <v>656</v>
      </c>
      <c r="S94">
        <v>1150</v>
      </c>
      <c r="T94">
        <v>202</v>
      </c>
      <c r="U94">
        <v>135</v>
      </c>
      <c r="V94">
        <v>344.21715977817001</v>
      </c>
      <c r="W94">
        <v>291</v>
      </c>
      <c r="X94">
        <v>71</v>
      </c>
      <c r="Y94">
        <v>609</v>
      </c>
      <c r="Z94">
        <v>4320</v>
      </c>
      <c r="AA94">
        <v>1242</v>
      </c>
      <c r="AB94">
        <v>4920</v>
      </c>
      <c r="AC94">
        <v>2615</v>
      </c>
      <c r="AD94">
        <v>230</v>
      </c>
      <c r="AE94">
        <v>1444</v>
      </c>
      <c r="AF94">
        <v>569</v>
      </c>
      <c r="AG94">
        <v>1090</v>
      </c>
      <c r="AH94">
        <v>1912</v>
      </c>
      <c r="AI94">
        <v>2582</v>
      </c>
    </row>
    <row r="95" spans="1:35" x14ac:dyDescent="0.3">
      <c r="A95" s="3">
        <v>209</v>
      </c>
      <c r="B95">
        <v>219</v>
      </c>
      <c r="C95">
        <v>2267</v>
      </c>
      <c r="D95">
        <v>153</v>
      </c>
      <c r="E95">
        <v>1556.1496653066499</v>
      </c>
      <c r="F95">
        <v>628</v>
      </c>
      <c r="G95">
        <v>2463</v>
      </c>
      <c r="H95">
        <v>2784</v>
      </c>
      <c r="I95">
        <v>774</v>
      </c>
      <c r="J95">
        <v>629</v>
      </c>
      <c r="K95">
        <v>1177</v>
      </c>
      <c r="L95">
        <v>1084</v>
      </c>
      <c r="M95">
        <v>1514</v>
      </c>
      <c r="N95">
        <v>1626</v>
      </c>
      <c r="O95">
        <v>555</v>
      </c>
      <c r="P95">
        <v>69</v>
      </c>
      <c r="Q95">
        <v>1144</v>
      </c>
      <c r="R95">
        <v>944</v>
      </c>
      <c r="S95">
        <v>493</v>
      </c>
      <c r="T95">
        <v>919</v>
      </c>
      <c r="U95">
        <v>2043</v>
      </c>
      <c r="V95">
        <v>415.02943060597602</v>
      </c>
      <c r="W95">
        <v>403</v>
      </c>
      <c r="X95">
        <v>488</v>
      </c>
      <c r="Y95">
        <v>367</v>
      </c>
      <c r="Z95">
        <v>2317</v>
      </c>
      <c r="AA95">
        <v>2223</v>
      </c>
      <c r="AB95">
        <v>347</v>
      </c>
      <c r="AC95">
        <v>1498</v>
      </c>
      <c r="AD95">
        <v>504</v>
      </c>
      <c r="AE95">
        <v>1626</v>
      </c>
      <c r="AF95">
        <v>1627</v>
      </c>
      <c r="AG95">
        <v>1549</v>
      </c>
      <c r="AH95">
        <v>1702</v>
      </c>
      <c r="AI95">
        <v>2040</v>
      </c>
    </row>
    <row r="96" spans="1:35" x14ac:dyDescent="0.3">
      <c r="A96" s="3">
        <v>210</v>
      </c>
      <c r="B96">
        <v>1113</v>
      </c>
      <c r="C96">
        <v>1654</v>
      </c>
      <c r="D96">
        <v>919.21484128325699</v>
      </c>
      <c r="E96">
        <v>1061.4228746992001</v>
      </c>
      <c r="F96">
        <v>496</v>
      </c>
      <c r="G96">
        <v>544</v>
      </c>
      <c r="H96">
        <v>492</v>
      </c>
      <c r="I96">
        <v>806</v>
      </c>
      <c r="J96">
        <v>740</v>
      </c>
      <c r="K96">
        <v>639</v>
      </c>
      <c r="L96">
        <v>1005</v>
      </c>
      <c r="M96">
        <v>544</v>
      </c>
      <c r="N96">
        <v>1571</v>
      </c>
      <c r="O96">
        <v>723</v>
      </c>
      <c r="P96">
        <v>236</v>
      </c>
      <c r="Q96">
        <v>824</v>
      </c>
      <c r="R96">
        <v>90</v>
      </c>
      <c r="S96">
        <v>176</v>
      </c>
      <c r="T96">
        <v>2258</v>
      </c>
      <c r="U96">
        <v>511</v>
      </c>
      <c r="V96">
        <v>362.73447980925999</v>
      </c>
      <c r="W96">
        <v>652</v>
      </c>
      <c r="X96">
        <v>518</v>
      </c>
      <c r="Y96">
        <v>1395</v>
      </c>
      <c r="Z96">
        <v>2265</v>
      </c>
      <c r="AA96">
        <v>1223</v>
      </c>
      <c r="AB96">
        <v>2404</v>
      </c>
      <c r="AC96">
        <v>1998</v>
      </c>
      <c r="AD96">
        <v>347</v>
      </c>
      <c r="AE96">
        <v>2043</v>
      </c>
      <c r="AF96">
        <v>490</v>
      </c>
      <c r="AG96">
        <v>1063</v>
      </c>
      <c r="AH96">
        <v>1474</v>
      </c>
      <c r="AI96">
        <v>873</v>
      </c>
    </row>
    <row r="97" spans="1:35" x14ac:dyDescent="0.3">
      <c r="A97" s="3">
        <v>211</v>
      </c>
      <c r="B97">
        <v>948</v>
      </c>
      <c r="C97">
        <v>473</v>
      </c>
      <c r="D97">
        <v>1218.5303598072601</v>
      </c>
      <c r="E97">
        <v>1353.33871486308</v>
      </c>
      <c r="F97">
        <v>957</v>
      </c>
      <c r="G97">
        <v>198</v>
      </c>
      <c r="H97">
        <v>2398</v>
      </c>
      <c r="I97">
        <v>1847</v>
      </c>
      <c r="J97">
        <v>585</v>
      </c>
      <c r="K97">
        <v>859</v>
      </c>
      <c r="L97">
        <v>549</v>
      </c>
      <c r="M97">
        <v>219</v>
      </c>
      <c r="N97">
        <v>583</v>
      </c>
      <c r="O97">
        <v>1317</v>
      </c>
      <c r="P97">
        <v>1108</v>
      </c>
      <c r="Q97">
        <v>639</v>
      </c>
      <c r="R97">
        <v>782</v>
      </c>
      <c r="S97">
        <v>132</v>
      </c>
      <c r="T97">
        <v>2218</v>
      </c>
      <c r="U97">
        <v>2755</v>
      </c>
      <c r="V97">
        <v>400.53762084606598</v>
      </c>
      <c r="W97">
        <v>263</v>
      </c>
      <c r="X97">
        <v>426</v>
      </c>
      <c r="Y97">
        <v>739</v>
      </c>
      <c r="Z97">
        <v>2548</v>
      </c>
      <c r="AA97">
        <v>443</v>
      </c>
      <c r="AB97">
        <v>41</v>
      </c>
      <c r="AC97">
        <v>2155</v>
      </c>
      <c r="AD97">
        <v>328</v>
      </c>
      <c r="AE97">
        <v>2542</v>
      </c>
      <c r="AF97">
        <v>642</v>
      </c>
      <c r="AG97">
        <v>807</v>
      </c>
      <c r="AH97">
        <v>1247</v>
      </c>
      <c r="AI97">
        <v>3361</v>
      </c>
    </row>
    <row r="98" spans="1:35" x14ac:dyDescent="0.3">
      <c r="A98" s="3">
        <v>212</v>
      </c>
      <c r="B98">
        <v>1074</v>
      </c>
      <c r="C98">
        <v>458</v>
      </c>
      <c r="D98">
        <v>827.22476628424204</v>
      </c>
      <c r="E98">
        <v>875.32042171637397</v>
      </c>
      <c r="F98">
        <v>309</v>
      </c>
      <c r="G98">
        <v>1155</v>
      </c>
      <c r="H98">
        <v>378</v>
      </c>
      <c r="I98">
        <v>1300</v>
      </c>
      <c r="J98">
        <v>77</v>
      </c>
      <c r="K98">
        <v>489</v>
      </c>
      <c r="L98">
        <v>652</v>
      </c>
      <c r="M98">
        <v>369</v>
      </c>
      <c r="N98">
        <v>1031</v>
      </c>
      <c r="O98">
        <v>337</v>
      </c>
      <c r="P98">
        <v>215</v>
      </c>
      <c r="Q98">
        <v>2992</v>
      </c>
      <c r="R98">
        <v>77</v>
      </c>
      <c r="S98">
        <v>457</v>
      </c>
      <c r="T98">
        <v>1151</v>
      </c>
      <c r="U98">
        <v>1242</v>
      </c>
      <c r="V98">
        <v>308.24380042832098</v>
      </c>
      <c r="W98">
        <v>94</v>
      </c>
      <c r="X98">
        <v>36</v>
      </c>
      <c r="Y98">
        <v>513</v>
      </c>
      <c r="Z98">
        <v>643</v>
      </c>
      <c r="AA98">
        <v>1218</v>
      </c>
      <c r="AB98">
        <v>779</v>
      </c>
      <c r="AC98">
        <v>3914</v>
      </c>
      <c r="AD98">
        <v>308</v>
      </c>
      <c r="AE98">
        <v>1503</v>
      </c>
      <c r="AF98">
        <v>623</v>
      </c>
      <c r="AG98">
        <v>226</v>
      </c>
      <c r="AH98">
        <v>1162</v>
      </c>
      <c r="AI98">
        <v>789</v>
      </c>
    </row>
    <row r="99" spans="1:35" x14ac:dyDescent="0.3">
      <c r="A99" s="3">
        <v>213</v>
      </c>
      <c r="B99">
        <v>377</v>
      </c>
      <c r="C99">
        <v>737</v>
      </c>
      <c r="D99">
        <v>956.85043139008599</v>
      </c>
      <c r="E99">
        <v>1119.89588102587</v>
      </c>
      <c r="F99">
        <v>1859</v>
      </c>
      <c r="G99">
        <v>733</v>
      </c>
      <c r="H99">
        <v>892</v>
      </c>
      <c r="I99">
        <v>701</v>
      </c>
      <c r="J99">
        <v>881</v>
      </c>
      <c r="K99">
        <v>400</v>
      </c>
      <c r="L99">
        <v>907</v>
      </c>
      <c r="M99">
        <v>569</v>
      </c>
      <c r="N99">
        <v>170</v>
      </c>
      <c r="O99">
        <v>454</v>
      </c>
      <c r="P99">
        <v>517</v>
      </c>
      <c r="Q99">
        <v>2474</v>
      </c>
      <c r="R99">
        <v>92</v>
      </c>
      <c r="S99">
        <v>776.96720173001097</v>
      </c>
      <c r="T99">
        <v>427</v>
      </c>
      <c r="U99">
        <v>1683</v>
      </c>
      <c r="V99">
        <v>282.99171367165798</v>
      </c>
      <c r="W99">
        <v>459</v>
      </c>
      <c r="X99">
        <v>10</v>
      </c>
      <c r="Y99">
        <v>332</v>
      </c>
      <c r="Z99">
        <v>1152</v>
      </c>
      <c r="AA99">
        <v>327</v>
      </c>
      <c r="AB99">
        <v>1625</v>
      </c>
      <c r="AC99">
        <v>2725</v>
      </c>
      <c r="AD99">
        <v>288</v>
      </c>
      <c r="AE99">
        <v>1834</v>
      </c>
      <c r="AF99">
        <v>432</v>
      </c>
      <c r="AG99">
        <v>876</v>
      </c>
      <c r="AH99">
        <v>710</v>
      </c>
      <c r="AI99">
        <v>2822</v>
      </c>
    </row>
    <row r="100" spans="1:35" x14ac:dyDescent="0.3">
      <c r="A100" s="3">
        <v>214</v>
      </c>
      <c r="B100">
        <v>101</v>
      </c>
      <c r="C100">
        <v>1188</v>
      </c>
      <c r="D100">
        <v>1012.57385413139</v>
      </c>
      <c r="E100">
        <v>1100.70856233423</v>
      </c>
      <c r="F100">
        <v>1346</v>
      </c>
      <c r="G100">
        <v>1975</v>
      </c>
      <c r="H100">
        <v>429</v>
      </c>
      <c r="I100">
        <v>653</v>
      </c>
      <c r="J100">
        <v>310</v>
      </c>
      <c r="K100">
        <v>322</v>
      </c>
      <c r="L100">
        <v>673</v>
      </c>
      <c r="M100">
        <v>933</v>
      </c>
      <c r="N100">
        <v>70</v>
      </c>
      <c r="O100">
        <v>363</v>
      </c>
      <c r="P100">
        <v>351</v>
      </c>
      <c r="Q100">
        <v>955</v>
      </c>
      <c r="R100">
        <v>597</v>
      </c>
      <c r="S100">
        <v>826.425689015947</v>
      </c>
      <c r="T100">
        <v>2945</v>
      </c>
      <c r="U100">
        <v>845</v>
      </c>
      <c r="V100">
        <v>296.14627361241401</v>
      </c>
      <c r="W100">
        <v>430</v>
      </c>
      <c r="X100">
        <v>135</v>
      </c>
      <c r="Y100">
        <v>518</v>
      </c>
      <c r="Z100">
        <v>591</v>
      </c>
      <c r="AA100">
        <v>250</v>
      </c>
      <c r="AB100">
        <v>1680</v>
      </c>
      <c r="AC100">
        <v>1235</v>
      </c>
      <c r="AD100">
        <v>248</v>
      </c>
      <c r="AE100">
        <v>1727</v>
      </c>
      <c r="AF100">
        <v>48</v>
      </c>
      <c r="AG100">
        <v>1695</v>
      </c>
      <c r="AH100">
        <v>1136</v>
      </c>
      <c r="AI100">
        <v>1568</v>
      </c>
    </row>
    <row r="101" spans="1:35" x14ac:dyDescent="0.3">
      <c r="A101" s="3">
        <v>215</v>
      </c>
      <c r="B101">
        <v>1319</v>
      </c>
      <c r="C101">
        <v>1013</v>
      </c>
      <c r="D101">
        <v>1198.04510797534</v>
      </c>
      <c r="E101">
        <v>1484.91626337759</v>
      </c>
      <c r="F101">
        <v>908</v>
      </c>
      <c r="G101">
        <v>2139</v>
      </c>
      <c r="H101">
        <v>944</v>
      </c>
      <c r="I101">
        <v>229</v>
      </c>
      <c r="J101">
        <v>1713</v>
      </c>
      <c r="K101">
        <v>409</v>
      </c>
      <c r="L101">
        <v>1177</v>
      </c>
      <c r="M101">
        <v>3135</v>
      </c>
      <c r="N101">
        <v>465</v>
      </c>
      <c r="O101">
        <v>855</v>
      </c>
      <c r="P101">
        <v>798</v>
      </c>
      <c r="Q101">
        <v>1759</v>
      </c>
      <c r="R101">
        <v>553</v>
      </c>
      <c r="S101">
        <v>920.88599721655999</v>
      </c>
      <c r="T101">
        <v>1354</v>
      </c>
      <c r="U101">
        <v>436</v>
      </c>
      <c r="V101">
        <v>306.77581156339602</v>
      </c>
      <c r="W101">
        <v>1124</v>
      </c>
      <c r="X101">
        <v>135</v>
      </c>
      <c r="Y101">
        <v>229</v>
      </c>
      <c r="Z101">
        <v>1691</v>
      </c>
      <c r="AA101">
        <v>181</v>
      </c>
      <c r="AB101">
        <v>1563</v>
      </c>
      <c r="AC101">
        <v>1616</v>
      </c>
      <c r="AD101">
        <v>239</v>
      </c>
      <c r="AE101">
        <v>1516</v>
      </c>
      <c r="AF101">
        <v>113</v>
      </c>
      <c r="AG101">
        <v>321</v>
      </c>
      <c r="AH101">
        <v>744</v>
      </c>
      <c r="AI101">
        <v>1122</v>
      </c>
    </row>
    <row r="102" spans="1:35" x14ac:dyDescent="0.3">
      <c r="A102" s="3">
        <v>216</v>
      </c>
      <c r="B102">
        <v>57</v>
      </c>
      <c r="C102">
        <v>1045</v>
      </c>
      <c r="D102">
        <v>863.00277340740695</v>
      </c>
      <c r="E102">
        <v>1036.6964152010601</v>
      </c>
      <c r="F102">
        <v>816</v>
      </c>
      <c r="G102">
        <v>1399</v>
      </c>
      <c r="H102">
        <v>882</v>
      </c>
      <c r="I102">
        <v>553.63579672785704</v>
      </c>
      <c r="J102">
        <v>991</v>
      </c>
      <c r="K102">
        <v>331</v>
      </c>
      <c r="L102">
        <v>285</v>
      </c>
      <c r="M102">
        <v>935</v>
      </c>
      <c r="N102">
        <v>276</v>
      </c>
      <c r="O102">
        <v>507</v>
      </c>
      <c r="P102">
        <v>868</v>
      </c>
      <c r="Q102">
        <v>1222</v>
      </c>
      <c r="R102">
        <v>209</v>
      </c>
      <c r="S102">
        <v>661.26747237405903</v>
      </c>
      <c r="T102">
        <v>531</v>
      </c>
      <c r="U102">
        <v>656</v>
      </c>
      <c r="V102">
        <v>263.79007334126698</v>
      </c>
      <c r="W102">
        <v>908</v>
      </c>
      <c r="X102">
        <v>150</v>
      </c>
      <c r="Y102">
        <v>1913</v>
      </c>
      <c r="Z102">
        <v>871</v>
      </c>
      <c r="AA102">
        <v>87</v>
      </c>
      <c r="AB102">
        <v>681</v>
      </c>
      <c r="AC102">
        <v>661</v>
      </c>
      <c r="AD102">
        <v>517</v>
      </c>
      <c r="AE102">
        <v>1679</v>
      </c>
      <c r="AF102">
        <v>125</v>
      </c>
      <c r="AG102">
        <v>1372</v>
      </c>
      <c r="AH102">
        <v>565</v>
      </c>
      <c r="AI102">
        <v>1681</v>
      </c>
    </row>
    <row r="103" spans="1:35" x14ac:dyDescent="0.3">
      <c r="A103" s="3">
        <v>217</v>
      </c>
      <c r="B103">
        <v>445</v>
      </c>
      <c r="C103">
        <v>250</v>
      </c>
      <c r="D103">
        <v>498.01627710545898</v>
      </c>
      <c r="E103">
        <v>616.71281706131094</v>
      </c>
      <c r="F103">
        <v>441</v>
      </c>
      <c r="G103">
        <v>687</v>
      </c>
      <c r="H103">
        <v>542.45562614495202</v>
      </c>
      <c r="I103">
        <v>358.70354549844802</v>
      </c>
      <c r="J103">
        <v>708</v>
      </c>
      <c r="K103">
        <v>152</v>
      </c>
      <c r="L103">
        <v>464</v>
      </c>
      <c r="M103">
        <v>459</v>
      </c>
      <c r="N103">
        <v>495</v>
      </c>
      <c r="O103">
        <v>615</v>
      </c>
      <c r="P103">
        <v>828</v>
      </c>
      <c r="Q103">
        <v>651</v>
      </c>
      <c r="R103">
        <v>112</v>
      </c>
      <c r="S103">
        <v>759.05363001901605</v>
      </c>
      <c r="T103">
        <v>749</v>
      </c>
      <c r="U103">
        <v>1428</v>
      </c>
      <c r="V103">
        <v>321.07115863155502</v>
      </c>
      <c r="W103">
        <v>594</v>
      </c>
      <c r="X103">
        <v>624.46774228483196</v>
      </c>
      <c r="Y103">
        <v>265</v>
      </c>
      <c r="Z103">
        <v>2393</v>
      </c>
      <c r="AA103">
        <v>1197.9968185560599</v>
      </c>
      <c r="AB103">
        <v>1042</v>
      </c>
      <c r="AC103">
        <v>255</v>
      </c>
      <c r="AD103">
        <v>464</v>
      </c>
      <c r="AE103">
        <v>582</v>
      </c>
      <c r="AF103">
        <v>213</v>
      </c>
      <c r="AG103">
        <v>1461</v>
      </c>
      <c r="AH103">
        <v>386</v>
      </c>
      <c r="AI103">
        <v>1250</v>
      </c>
    </row>
    <row r="104" spans="1:35" x14ac:dyDescent="0.3">
      <c r="A104" s="3">
        <v>218</v>
      </c>
      <c r="B104">
        <v>323</v>
      </c>
      <c r="C104">
        <v>562</v>
      </c>
      <c r="D104">
        <v>480.66517869869398</v>
      </c>
      <c r="E104">
        <v>625.29188019000105</v>
      </c>
      <c r="F104">
        <v>217</v>
      </c>
      <c r="G104">
        <v>517.26042448532905</v>
      </c>
      <c r="H104">
        <v>608.21451751326799</v>
      </c>
      <c r="I104">
        <v>371.70800908493402</v>
      </c>
      <c r="J104">
        <v>905</v>
      </c>
      <c r="K104">
        <v>628</v>
      </c>
      <c r="L104">
        <v>396.31388491310997</v>
      </c>
      <c r="M104">
        <v>493</v>
      </c>
      <c r="N104">
        <v>376</v>
      </c>
      <c r="O104">
        <v>117</v>
      </c>
      <c r="P104">
        <v>127</v>
      </c>
      <c r="Q104">
        <v>530</v>
      </c>
      <c r="R104">
        <v>590</v>
      </c>
      <c r="S104">
        <v>894.8360902183</v>
      </c>
      <c r="T104">
        <v>1185</v>
      </c>
      <c r="U104">
        <v>2122</v>
      </c>
      <c r="V104">
        <v>398.356838300932</v>
      </c>
      <c r="W104">
        <v>1325.0763639705699</v>
      </c>
      <c r="X104">
        <v>795.10121814302795</v>
      </c>
      <c r="Y104">
        <v>1095</v>
      </c>
      <c r="Z104">
        <v>702</v>
      </c>
      <c r="AA104">
        <v>1646.39707954509</v>
      </c>
      <c r="AB104">
        <v>1592.7992001216801</v>
      </c>
      <c r="AC104">
        <v>503</v>
      </c>
      <c r="AD104">
        <v>1195</v>
      </c>
      <c r="AE104">
        <v>1239</v>
      </c>
      <c r="AF104">
        <v>436</v>
      </c>
      <c r="AG104">
        <v>2356</v>
      </c>
      <c r="AH104">
        <v>193</v>
      </c>
      <c r="AI104">
        <v>2180</v>
      </c>
    </row>
    <row r="105" spans="1:35" x14ac:dyDescent="0.3">
      <c r="A105" s="3">
        <v>219</v>
      </c>
      <c r="B105">
        <v>323</v>
      </c>
      <c r="C105">
        <v>195</v>
      </c>
      <c r="D105">
        <v>685.49690134672005</v>
      </c>
      <c r="E105">
        <v>965.04383421399996</v>
      </c>
      <c r="F105">
        <v>920.615382126849</v>
      </c>
      <c r="G105">
        <v>748.78079665084999</v>
      </c>
      <c r="H105">
        <v>883.60204108707001</v>
      </c>
      <c r="I105">
        <v>562.51828853138898</v>
      </c>
      <c r="J105">
        <v>1831</v>
      </c>
      <c r="K105">
        <v>510</v>
      </c>
      <c r="L105">
        <v>531.31970275870196</v>
      </c>
      <c r="M105">
        <v>599.21940511900902</v>
      </c>
      <c r="N105">
        <v>265</v>
      </c>
      <c r="O105">
        <v>27</v>
      </c>
      <c r="P105">
        <v>31</v>
      </c>
      <c r="Q105">
        <v>807</v>
      </c>
      <c r="R105">
        <v>101</v>
      </c>
      <c r="S105">
        <v>629.499985497583</v>
      </c>
      <c r="T105">
        <v>1458</v>
      </c>
      <c r="U105">
        <v>1049</v>
      </c>
      <c r="V105">
        <v>253.78785241413499</v>
      </c>
      <c r="W105">
        <v>830.981746499005</v>
      </c>
      <c r="X105">
        <v>499.438342047736</v>
      </c>
      <c r="Y105">
        <v>136</v>
      </c>
      <c r="Z105">
        <v>164</v>
      </c>
      <c r="AA105">
        <v>1260.0307263710599</v>
      </c>
      <c r="AB105">
        <v>1361.0392815933201</v>
      </c>
      <c r="AC105">
        <v>59</v>
      </c>
      <c r="AD105">
        <v>1708</v>
      </c>
      <c r="AE105">
        <v>2037</v>
      </c>
      <c r="AF105">
        <v>54</v>
      </c>
      <c r="AG105">
        <v>2901</v>
      </c>
      <c r="AH105">
        <v>220</v>
      </c>
      <c r="AI105">
        <v>2470</v>
      </c>
    </row>
    <row r="106" spans="1:35" x14ac:dyDescent="0.3">
      <c r="A106" s="3">
        <v>220</v>
      </c>
      <c r="B106">
        <v>7</v>
      </c>
      <c r="C106">
        <v>313</v>
      </c>
      <c r="D106">
        <v>257.048564665475</v>
      </c>
      <c r="E106">
        <v>306.57439461852198</v>
      </c>
      <c r="F106">
        <v>299.48979202420401</v>
      </c>
      <c r="G106">
        <v>256.12314941549198</v>
      </c>
      <c r="H106">
        <v>330.40283442443302</v>
      </c>
      <c r="I106">
        <v>211.78480831703001</v>
      </c>
      <c r="J106">
        <v>278.88317052927403</v>
      </c>
      <c r="K106">
        <v>220.23784898048899</v>
      </c>
      <c r="L106">
        <v>309.37405164188698</v>
      </c>
      <c r="M106">
        <v>370.25921538778903</v>
      </c>
      <c r="N106">
        <v>361</v>
      </c>
      <c r="O106">
        <v>60</v>
      </c>
      <c r="P106">
        <v>692.33091372509296</v>
      </c>
      <c r="Q106">
        <v>867</v>
      </c>
      <c r="R106">
        <v>98</v>
      </c>
      <c r="S106">
        <v>822.642477800645</v>
      </c>
      <c r="T106">
        <v>1892</v>
      </c>
      <c r="U106">
        <v>1018</v>
      </c>
      <c r="V106">
        <v>319.29846329495001</v>
      </c>
      <c r="W106">
        <v>994.58667061520396</v>
      </c>
      <c r="X106">
        <v>652.94637570781003</v>
      </c>
      <c r="Y106">
        <v>1070.5073367140999</v>
      </c>
      <c r="Z106">
        <v>159</v>
      </c>
      <c r="AA106">
        <v>1150.3981968759799</v>
      </c>
      <c r="AB106">
        <v>1089.8101089454899</v>
      </c>
      <c r="AC106">
        <v>898.51205082918898</v>
      </c>
      <c r="AD106">
        <v>717</v>
      </c>
      <c r="AE106">
        <v>310</v>
      </c>
      <c r="AF106">
        <v>273.550126492277</v>
      </c>
      <c r="AG106">
        <v>1500</v>
      </c>
      <c r="AH106">
        <v>61</v>
      </c>
      <c r="AI106">
        <v>1603</v>
      </c>
    </row>
    <row r="107" spans="1:35" x14ac:dyDescent="0.3">
      <c r="A107" s="3">
        <v>221</v>
      </c>
      <c r="B107">
        <v>76</v>
      </c>
      <c r="C107">
        <v>255</v>
      </c>
      <c r="D107">
        <v>244.04480635789801</v>
      </c>
      <c r="E107">
        <v>292.06322060730997</v>
      </c>
      <c r="F107">
        <v>284.406572383342</v>
      </c>
      <c r="G107">
        <v>241.106089473053</v>
      </c>
      <c r="H107">
        <v>301.99457426561901</v>
      </c>
      <c r="I107">
        <v>186.57102796781399</v>
      </c>
      <c r="J107">
        <v>272.13315462867098</v>
      </c>
      <c r="K107">
        <v>202.29781029542599</v>
      </c>
      <c r="L107">
        <v>270.72287319526703</v>
      </c>
      <c r="M107">
        <v>331.72597389419002</v>
      </c>
      <c r="N107">
        <v>193</v>
      </c>
      <c r="O107">
        <v>355.39755745622602</v>
      </c>
      <c r="P107">
        <v>474.39910837618999</v>
      </c>
      <c r="Q107">
        <v>633.637763993877</v>
      </c>
      <c r="R107">
        <v>182</v>
      </c>
      <c r="S107">
        <v>578.22585095295995</v>
      </c>
      <c r="T107">
        <v>492</v>
      </c>
      <c r="U107">
        <v>885</v>
      </c>
      <c r="V107">
        <v>258.766947477342</v>
      </c>
      <c r="W107">
        <v>844.97097830255404</v>
      </c>
      <c r="X107">
        <v>569.53191738060798</v>
      </c>
      <c r="Y107">
        <v>928.045316619196</v>
      </c>
      <c r="Z107">
        <v>665.77445772909005</v>
      </c>
      <c r="AA107">
        <v>1291.8266027273201</v>
      </c>
      <c r="AB107">
        <v>1176.98730924251</v>
      </c>
      <c r="AC107">
        <v>1090.4180865481601</v>
      </c>
      <c r="AD107">
        <v>433</v>
      </c>
      <c r="AE107">
        <v>964</v>
      </c>
      <c r="AF107">
        <v>351.00025203962002</v>
      </c>
      <c r="AG107">
        <v>1206</v>
      </c>
      <c r="AH107">
        <v>889.74924780830997</v>
      </c>
      <c r="AI107">
        <v>2353</v>
      </c>
    </row>
    <row r="108" spans="1:35" x14ac:dyDescent="0.3">
      <c r="A108" s="3">
        <v>222</v>
      </c>
      <c r="B108">
        <v>15</v>
      </c>
      <c r="C108">
        <v>242</v>
      </c>
      <c r="D108">
        <v>245.117289313567</v>
      </c>
      <c r="E108">
        <v>298.69098430373299</v>
      </c>
      <c r="F108">
        <v>294.32463007448598</v>
      </c>
      <c r="G108">
        <v>252.99173073630399</v>
      </c>
      <c r="H108">
        <v>329.881203367007</v>
      </c>
      <c r="I108">
        <v>211.44880189478999</v>
      </c>
      <c r="J108">
        <v>312.73124183053301</v>
      </c>
      <c r="K108">
        <v>235.57971689281101</v>
      </c>
      <c r="L108">
        <v>318.04479151515102</v>
      </c>
      <c r="M108">
        <v>407.39147993022601</v>
      </c>
      <c r="N108">
        <v>289.89947335984198</v>
      </c>
      <c r="O108">
        <v>417.75924380740997</v>
      </c>
      <c r="P108">
        <v>555.97716110132205</v>
      </c>
      <c r="Q108">
        <v>736.607342489242</v>
      </c>
      <c r="R108">
        <v>364.97427259371301</v>
      </c>
      <c r="S108">
        <v>635.92047108417603</v>
      </c>
      <c r="T108">
        <v>410</v>
      </c>
      <c r="U108">
        <v>1017</v>
      </c>
      <c r="V108">
        <v>257.74543604952498</v>
      </c>
      <c r="W108">
        <v>807.167355098097</v>
      </c>
      <c r="X108">
        <v>519.36248394187101</v>
      </c>
      <c r="Y108">
        <v>834.42203105774195</v>
      </c>
      <c r="Z108">
        <v>599.60494021317299</v>
      </c>
      <c r="AA108">
        <v>1118.04007938615</v>
      </c>
      <c r="AB108">
        <v>956.651864072639</v>
      </c>
      <c r="AC108">
        <v>852.07605573684498</v>
      </c>
      <c r="AD108">
        <v>393</v>
      </c>
      <c r="AE108">
        <v>848</v>
      </c>
      <c r="AF108">
        <v>234.767570682746</v>
      </c>
      <c r="AG108">
        <v>576</v>
      </c>
      <c r="AH108">
        <v>543.41288208772403</v>
      </c>
      <c r="AI108">
        <v>1003.36960487072</v>
      </c>
    </row>
    <row r="109" spans="1:35" x14ac:dyDescent="0.3">
      <c r="A109" s="3">
        <v>223</v>
      </c>
      <c r="B109">
        <v>44</v>
      </c>
      <c r="C109">
        <v>213</v>
      </c>
      <c r="D109">
        <v>200.061987760525</v>
      </c>
      <c r="E109">
        <v>240.62676878250099</v>
      </c>
      <c r="F109">
        <v>234.754045228536</v>
      </c>
      <c r="G109">
        <v>199.06981012890901</v>
      </c>
      <c r="H109">
        <v>252.29384327181199</v>
      </c>
      <c r="I109">
        <v>158.34529082147401</v>
      </c>
      <c r="J109">
        <v>231.93892293024999</v>
      </c>
      <c r="K109">
        <v>170.27720974514699</v>
      </c>
      <c r="L109">
        <v>224.077215222532</v>
      </c>
      <c r="M109">
        <v>283.30655300675699</v>
      </c>
      <c r="N109">
        <v>198.67713066242899</v>
      </c>
      <c r="O109">
        <v>305.08133510132399</v>
      </c>
      <c r="P109">
        <v>363.07605518524798</v>
      </c>
      <c r="Q109">
        <v>480.17061323627797</v>
      </c>
      <c r="R109">
        <v>239.800256442875</v>
      </c>
      <c r="S109">
        <v>419.87447222406502</v>
      </c>
      <c r="T109">
        <v>505</v>
      </c>
      <c r="U109">
        <v>330</v>
      </c>
      <c r="V109">
        <v>178.40219091037301</v>
      </c>
      <c r="W109">
        <v>573.39975967433702</v>
      </c>
      <c r="X109">
        <v>376.29110064253001</v>
      </c>
      <c r="Y109" s="3">
        <v>627.67693858462997</v>
      </c>
      <c r="Z109">
        <v>438.44782282577899</v>
      </c>
      <c r="AA109">
        <v>884.32490933393899</v>
      </c>
      <c r="AB109">
        <v>769.51609254160701</v>
      </c>
      <c r="AC109">
        <v>699.06186076924803</v>
      </c>
      <c r="AD109">
        <v>459</v>
      </c>
      <c r="AE109">
        <v>662.19900845685197</v>
      </c>
      <c r="AF109">
        <v>201.271604512143</v>
      </c>
      <c r="AG109">
        <v>534.02419044771602</v>
      </c>
      <c r="AH109">
        <v>481.12320941778597</v>
      </c>
      <c r="AI109">
        <v>903.78802883960896</v>
      </c>
    </row>
    <row r="110" spans="1:35" x14ac:dyDescent="0.3">
      <c r="A110" s="3">
        <v>224</v>
      </c>
      <c r="B110">
        <v>64</v>
      </c>
      <c r="C110">
        <v>67</v>
      </c>
      <c r="D110">
        <v>346.401522090073</v>
      </c>
      <c r="E110">
        <v>440.92962789284098</v>
      </c>
      <c r="F110">
        <v>447.32891072612802</v>
      </c>
      <c r="G110">
        <v>398.23712157699498</v>
      </c>
      <c r="H110">
        <v>534.13171817788304</v>
      </c>
      <c r="I110">
        <v>372.16365748105301</v>
      </c>
      <c r="J110">
        <v>580.69055933698803</v>
      </c>
      <c r="K110">
        <v>454.15327290709001</v>
      </c>
      <c r="L110">
        <v>632.91707207738204</v>
      </c>
      <c r="M110">
        <v>823.50265009199904</v>
      </c>
      <c r="N110">
        <v>594.89138382822205</v>
      </c>
      <c r="O110">
        <v>976.25800146712299</v>
      </c>
      <c r="P110">
        <v>1176.0274832283701</v>
      </c>
      <c r="Q110">
        <v>1553.0705028042501</v>
      </c>
      <c r="R110">
        <v>752.25755391138603</v>
      </c>
      <c r="S110">
        <v>1290.2991643319101</v>
      </c>
      <c r="T110">
        <v>2114</v>
      </c>
      <c r="U110">
        <v>1032</v>
      </c>
      <c r="V110">
        <v>464.05864405000398</v>
      </c>
      <c r="W110">
        <v>1385.18377350375</v>
      </c>
      <c r="X110">
        <v>861.29746818241404</v>
      </c>
      <c r="Y110" s="3">
        <v>1317.64933863225</v>
      </c>
      <c r="Z110">
        <v>812.476306727458</v>
      </c>
      <c r="AA110">
        <v>1562.5423148544601</v>
      </c>
      <c r="AB110">
        <v>1314.8761406241899</v>
      </c>
      <c r="AC110">
        <v>1125.8723391747301</v>
      </c>
      <c r="AD110">
        <v>272</v>
      </c>
      <c r="AE110" s="3">
        <v>967.37415696620997</v>
      </c>
      <c r="AF110">
        <v>287.84076151264702</v>
      </c>
      <c r="AG110">
        <v>729.94223076829803</v>
      </c>
      <c r="AH110">
        <v>625.51595375337104</v>
      </c>
      <c r="AI110">
        <v>1114.52106562788</v>
      </c>
    </row>
    <row r="111" spans="1:35" x14ac:dyDescent="0.3">
      <c r="A111" s="3">
        <v>225</v>
      </c>
      <c r="B111">
        <v>81</v>
      </c>
      <c r="C111">
        <v>332</v>
      </c>
      <c r="D111">
        <v>602.17004279662103</v>
      </c>
      <c r="E111">
        <v>752.57901109945999</v>
      </c>
      <c r="F111">
        <v>753.67792536392801</v>
      </c>
      <c r="G111">
        <v>660.08533836510196</v>
      </c>
      <c r="H111">
        <v>873.06291605542503</v>
      </c>
      <c r="I111">
        <v>587.20695173494005</v>
      </c>
      <c r="J111">
        <v>906.86024832802798</v>
      </c>
      <c r="K111">
        <v>693.78590372037695</v>
      </c>
      <c r="L111">
        <v>947.84307852940299</v>
      </c>
      <c r="M111">
        <v>1222.79374877072</v>
      </c>
      <c r="N111">
        <v>875.75489974656</v>
      </c>
      <c r="O111">
        <v>1495.10028474043</v>
      </c>
      <c r="P111">
        <v>1662.5891027207001</v>
      </c>
      <c r="Q111">
        <v>2199.4347275949799</v>
      </c>
      <c r="R111">
        <v>1082.8663785466799</v>
      </c>
      <c r="S111">
        <v>1878.56351317493</v>
      </c>
      <c r="T111">
        <v>3801</v>
      </c>
      <c r="U111">
        <v>256</v>
      </c>
      <c r="V111">
        <v>735.76444747455105</v>
      </c>
      <c r="W111">
        <v>2296.64600452185</v>
      </c>
      <c r="X111">
        <v>1477.59289833549</v>
      </c>
      <c r="Y111" s="3">
        <v>2396.8119335911401</v>
      </c>
      <c r="Z111">
        <v>1519.3151867213401</v>
      </c>
      <c r="AA111" s="3">
        <v>3197.46450578436</v>
      </c>
      <c r="AB111">
        <v>2757.7132315269901</v>
      </c>
      <c r="AC111">
        <v>2466.4406157356302</v>
      </c>
      <c r="AD111">
        <v>1400.3034055026701</v>
      </c>
      <c r="AE111" s="3">
        <v>2281.9101964115998</v>
      </c>
      <c r="AF111">
        <v>693.27306166662095</v>
      </c>
      <c r="AG111">
        <v>1822.26091820431</v>
      </c>
      <c r="AH111">
        <v>1625.65290099813</v>
      </c>
      <c r="AI111">
        <v>3024.6916732039799</v>
      </c>
    </row>
    <row r="112" spans="1:35" x14ac:dyDescent="0.3">
      <c r="A112" s="3">
        <v>226</v>
      </c>
      <c r="B112">
        <v>56</v>
      </c>
      <c r="C112">
        <v>174</v>
      </c>
      <c r="D112">
        <v>199.549756154146</v>
      </c>
      <c r="E112">
        <v>242.15164697543699</v>
      </c>
      <c r="F112">
        <v>237.76912739032099</v>
      </c>
      <c r="G112">
        <v>203.31847075505399</v>
      </c>
      <c r="H112">
        <v>258.92132282350599</v>
      </c>
      <c r="I112">
        <v>166.55404688104301</v>
      </c>
      <c r="J112">
        <v>247.13511266946099</v>
      </c>
      <c r="K112">
        <v>184.00687817431799</v>
      </c>
      <c r="L112">
        <v>245.388108494683</v>
      </c>
      <c r="M112">
        <v>312.284233139158</v>
      </c>
      <c r="N112">
        <v>220.506292049541</v>
      </c>
      <c r="O112">
        <v>344.19397123787502</v>
      </c>
      <c r="P112">
        <v>412.24298168081901</v>
      </c>
      <c r="Q112">
        <v>544.48139405107895</v>
      </c>
      <c r="R112">
        <v>268.79482584284898</v>
      </c>
      <c r="S112">
        <v>466.989769951651</v>
      </c>
      <c r="T112">
        <v>614</v>
      </c>
      <c r="U112">
        <v>383.17173961474799</v>
      </c>
      <c r="V112">
        <v>187.99158770608301</v>
      </c>
      <c r="W112">
        <v>591.04824212593098</v>
      </c>
      <c r="X112">
        <v>382.00823303106603</v>
      </c>
      <c r="Y112" s="3">
        <v>622.59137213203405</v>
      </c>
      <c r="Z112">
        <v>422.86150718754197</v>
      </c>
      <c r="AA112" s="3">
        <v>841.46815742845104</v>
      </c>
      <c r="AB112">
        <v>726.73106028431698</v>
      </c>
      <c r="AC112" s="3">
        <v>651.80079027548197</v>
      </c>
      <c r="AD112">
        <v>370.65208647308799</v>
      </c>
      <c r="AE112" s="3">
        <v>605.31170082285303</v>
      </c>
      <c r="AF112" s="3">
        <v>183.19016197191101</v>
      </c>
      <c r="AG112" s="3">
        <v>481.904649625486</v>
      </c>
      <c r="AH112" s="3">
        <v>430.23037955760799</v>
      </c>
      <c r="AI112">
        <v>800.765437488011</v>
      </c>
    </row>
    <row r="113" spans="1:39" x14ac:dyDescent="0.3">
      <c r="A113" s="3">
        <v>227</v>
      </c>
      <c r="B113">
        <v>123</v>
      </c>
      <c r="C113">
        <v>227</v>
      </c>
      <c r="D113">
        <v>261.51528557747702</v>
      </c>
      <c r="E113">
        <v>313.979718560675</v>
      </c>
      <c r="F113">
        <v>305.96867480805298</v>
      </c>
      <c r="G113">
        <v>259.09967571292901</v>
      </c>
      <c r="H113">
        <v>320.93333667893103</v>
      </c>
      <c r="I113">
        <v>204.42783448089401</v>
      </c>
      <c r="J113">
        <v>299.05582385892802</v>
      </c>
      <c r="K113" s="3">
        <v>219.30140250369701</v>
      </c>
      <c r="L113">
        <v>288.13909569742401</v>
      </c>
      <c r="M113">
        <v>363.47500188472901</v>
      </c>
      <c r="N113">
        <v>254.170150364216</v>
      </c>
      <c r="O113">
        <v>392.97912434575602</v>
      </c>
      <c r="P113">
        <v>468.03319531071497</v>
      </c>
      <c r="Q113" s="3">
        <v>616.287097217162</v>
      </c>
      <c r="R113">
        <v>302.99639937049602</v>
      </c>
      <c r="S113">
        <v>524.69312599074306</v>
      </c>
      <c r="T113">
        <v>678</v>
      </c>
      <c r="U113">
        <v>428.78345786837002</v>
      </c>
      <c r="V113">
        <v>210.00876158039199</v>
      </c>
      <c r="W113">
        <v>659.22677369636006</v>
      </c>
      <c r="X113">
        <v>425.84030362756999</v>
      </c>
      <c r="Y113" s="3">
        <v>693.585488543407</v>
      </c>
      <c r="Z113">
        <v>471.555096758829</v>
      </c>
      <c r="AA113" s="3">
        <v>938.13126372893498</v>
      </c>
      <c r="AB113" s="3">
        <v>810.15603976938598</v>
      </c>
      <c r="AC113" s="3">
        <v>726.58573995107997</v>
      </c>
      <c r="AD113" s="3">
        <v>413.18146295403</v>
      </c>
      <c r="AE113" s="3">
        <v>674.81508553402898</v>
      </c>
      <c r="AF113" s="3">
        <v>204.219499011463</v>
      </c>
      <c r="AG113" s="3">
        <v>537.21741581080096</v>
      </c>
      <c r="AH113" s="3">
        <v>479.61067671881898</v>
      </c>
      <c r="AI113">
        <v>892.68186247491997</v>
      </c>
    </row>
    <row r="114" spans="1:39" x14ac:dyDescent="0.3">
      <c r="A114" s="3">
        <v>228</v>
      </c>
      <c r="B114">
        <v>98</v>
      </c>
      <c r="C114">
        <v>234</v>
      </c>
      <c r="D114">
        <v>175.84999330294301</v>
      </c>
      <c r="E114">
        <v>203.84367258639699</v>
      </c>
      <c r="F114">
        <v>193.525293605027</v>
      </c>
      <c r="G114">
        <v>158.22032250615899</v>
      </c>
      <c r="H114">
        <v>185.40980790410899</v>
      </c>
      <c r="I114">
        <v>107.785163812646</v>
      </c>
      <c r="J114">
        <v>147.500083376085</v>
      </c>
      <c r="K114" s="3">
        <v>100.011066540275</v>
      </c>
      <c r="L114">
        <v>120.688292776658</v>
      </c>
      <c r="M114">
        <v>144.18169040558399</v>
      </c>
      <c r="N114">
        <v>93.793356405302504</v>
      </c>
      <c r="O114">
        <v>135.793344759832</v>
      </c>
      <c r="P114">
        <v>154.60876185053101</v>
      </c>
      <c r="Q114" s="3">
        <v>198.470828101731</v>
      </c>
      <c r="R114">
        <v>93.955475737559595</v>
      </c>
      <c r="S114">
        <v>157.69676552670799</v>
      </c>
      <c r="T114">
        <v>179.59781436219299</v>
      </c>
      <c r="U114">
        <v>123.413076770578</v>
      </c>
      <c r="V114">
        <v>59.124263397975596</v>
      </c>
      <c r="W114" s="3">
        <v>181.77454166693801</v>
      </c>
      <c r="X114">
        <v>116.40554125506</v>
      </c>
      <c r="Y114" s="3">
        <v>187.83144802015701</v>
      </c>
      <c r="Z114">
        <v>127.85608879498901</v>
      </c>
      <c r="AA114" s="3">
        <v>253.23786047486001</v>
      </c>
      <c r="AB114" s="3">
        <v>218.29786445050999</v>
      </c>
      <c r="AC114" s="3">
        <v>195.24189618965701</v>
      </c>
      <c r="AD114" s="3">
        <v>110.81325149482301</v>
      </c>
      <c r="AE114" s="3">
        <v>180.84519871954001</v>
      </c>
      <c r="AF114" s="3">
        <v>54.709315555240103</v>
      </c>
      <c r="AG114" s="3">
        <v>143.73238161262299</v>
      </c>
      <c r="AH114" s="3">
        <v>128.22232307837999</v>
      </c>
      <c r="AI114">
        <v>238.56438538373499</v>
      </c>
    </row>
    <row r="115" spans="1:39" x14ac:dyDescent="0.3">
      <c r="A115" s="3">
        <v>229</v>
      </c>
      <c r="B115">
        <v>50</v>
      </c>
      <c r="C115">
        <v>11</v>
      </c>
      <c r="D115">
        <v>29.397481809009701</v>
      </c>
      <c r="E115">
        <v>33.917592315865598</v>
      </c>
      <c r="F115">
        <v>32.099576065513197</v>
      </c>
      <c r="G115">
        <v>26.144259161794899</v>
      </c>
      <c r="H115">
        <v>26.9553013916887</v>
      </c>
      <c r="I115" s="3">
        <v>17.268000570344199</v>
      </c>
      <c r="J115" s="3">
        <v>23.4794750925264</v>
      </c>
      <c r="K115" s="3">
        <v>15.802927861295499</v>
      </c>
      <c r="L115">
        <v>18.9349614529939</v>
      </c>
      <c r="M115">
        <v>22.492872955129801</v>
      </c>
      <c r="N115">
        <v>14.770202708485</v>
      </c>
      <c r="O115">
        <v>21.351000643652199</v>
      </c>
      <c r="P115" s="3">
        <v>24.277065378162799</v>
      </c>
      <c r="Q115" s="3">
        <v>31.1509908366993</v>
      </c>
      <c r="R115">
        <v>14.7481980544694</v>
      </c>
      <c r="S115">
        <v>24.769296656812902</v>
      </c>
      <c r="T115">
        <v>28.2043402139963</v>
      </c>
      <c r="U115">
        <v>19.378970268749601</v>
      </c>
      <c r="V115">
        <v>9.2841607648139295</v>
      </c>
      <c r="W115" s="3">
        <v>28.5455531999662</v>
      </c>
      <c r="X115">
        <v>18.280605996077998</v>
      </c>
      <c r="Y115" s="3">
        <v>29.497060371406299</v>
      </c>
      <c r="Z115">
        <v>20.0785599271336</v>
      </c>
      <c r="AA115" s="3">
        <v>39.768873052669903</v>
      </c>
      <c r="AB115" s="3">
        <v>34.282032570449701</v>
      </c>
      <c r="AC115" s="3">
        <v>30.661403652114998</v>
      </c>
      <c r="AD115" s="3">
        <v>17.402507831373001</v>
      </c>
      <c r="AE115" s="3">
        <v>28.4006410530192</v>
      </c>
      <c r="AF115" s="3">
        <v>8.5917875957495404</v>
      </c>
      <c r="AG115" s="3">
        <v>22.572407286544799</v>
      </c>
      <c r="AH115" s="3">
        <v>20.1366891813684</v>
      </c>
      <c r="AI115" s="3">
        <v>37.465465661833299</v>
      </c>
    </row>
    <row r="116" spans="1:39" x14ac:dyDescent="0.3">
      <c r="A116" s="3">
        <v>230</v>
      </c>
      <c r="B116">
        <v>38</v>
      </c>
      <c r="C116">
        <v>56.146500318592203</v>
      </c>
      <c r="D116">
        <v>48.024676641599697</v>
      </c>
      <c r="E116">
        <v>55.5198908746261</v>
      </c>
      <c r="F116">
        <v>52.610190160446301</v>
      </c>
      <c r="G116">
        <v>42.902558856521601</v>
      </c>
      <c r="H116">
        <v>48.913802455349803</v>
      </c>
      <c r="I116" s="3">
        <v>28.778359261656099</v>
      </c>
      <c r="J116" s="3">
        <v>39.166067891118402</v>
      </c>
      <c r="K116" s="3">
        <v>26.376233368110501</v>
      </c>
      <c r="L116">
        <v>31.583204688112399</v>
      </c>
      <c r="M116">
        <v>37.523997094077103</v>
      </c>
      <c r="N116" s="3">
        <v>24.303291603917</v>
      </c>
      <c r="O116" s="3">
        <v>35.0119100533854</v>
      </c>
      <c r="P116" s="3">
        <v>39.678029100099501</v>
      </c>
      <c r="Q116" s="3">
        <v>50.802147776283398</v>
      </c>
      <c r="R116" s="3">
        <v>23.9469307718756</v>
      </c>
      <c r="S116" s="3">
        <v>40.051881561536298</v>
      </c>
      <c r="T116">
        <v>45.467305011379601</v>
      </c>
      <c r="U116" s="3">
        <v>31.1561032284486</v>
      </c>
      <c r="V116" s="3">
        <v>14.8701424269144</v>
      </c>
      <c r="W116" s="3">
        <v>45.552657399138198</v>
      </c>
      <c r="X116">
        <v>29.119935748886199</v>
      </c>
      <c r="Y116" s="3">
        <v>46.903140148348697</v>
      </c>
      <c r="Z116" s="3">
        <v>31.863783236981401</v>
      </c>
      <c r="AA116" s="3">
        <v>63.048537294754297</v>
      </c>
      <c r="AB116" s="3">
        <v>54.324153867945</v>
      </c>
      <c r="AC116" s="3">
        <v>48.5451131697818</v>
      </c>
      <c r="AD116" s="3">
        <v>27.533449270168699</v>
      </c>
      <c r="AE116" s="3">
        <v>44.914100439653701</v>
      </c>
      <c r="AF116" s="3">
        <v>13.5864840507883</v>
      </c>
      <c r="AG116" s="3">
        <v>35.679173259214103</v>
      </c>
      <c r="AH116" s="3">
        <v>31.8206639920333</v>
      </c>
      <c r="AI116" s="3">
        <v>59.194850242609597</v>
      </c>
    </row>
    <row r="117" spans="1:39" x14ac:dyDescent="0.3">
      <c r="A117" s="3">
        <v>231</v>
      </c>
      <c r="B117">
        <v>30</v>
      </c>
      <c r="C117">
        <v>44.326678293951097</v>
      </c>
      <c r="D117">
        <v>37.914657188457802</v>
      </c>
      <c r="E117">
        <v>43.832025895450698</v>
      </c>
      <c r="F117">
        <v>41.534884783429902</v>
      </c>
      <c r="G117">
        <v>33.870888927854402</v>
      </c>
      <c r="H117">
        <v>38.616741142088799</v>
      </c>
      <c r="I117" s="3">
        <v>22.720122460174199</v>
      </c>
      <c r="J117" s="3">
        <v>30.921116906412099</v>
      </c>
      <c r="K117" s="3">
        <v>20.823738218897201</v>
      </c>
      <c r="L117" s="3">
        <v>24.934631599192102</v>
      </c>
      <c r="M117" s="3">
        <v>29.624870407975799</v>
      </c>
      <c r="N117" s="3">
        <v>19.187273188766799</v>
      </c>
      <c r="O117" s="3">
        <v>27.641690897077801</v>
      </c>
      <c r="P117" s="3">
        <v>31.3256084799715</v>
      </c>
      <c r="Q117" s="3">
        <v>40.108080721723702</v>
      </c>
      <c r="R117" s="3">
        <v>18.9060284622098</v>
      </c>
      <c r="S117" s="3">
        <v>31.620875800761901</v>
      </c>
      <c r="T117" s="3">
        <v>35.896381976639702</v>
      </c>
      <c r="U117" s="3">
        <v>24.597730886860202</v>
      </c>
      <c r="V117" s="3">
        <v>11.739986862393801</v>
      </c>
      <c r="W117" s="3">
        <v>35.963896468763103</v>
      </c>
      <c r="X117">
        <v>22.9902530518522</v>
      </c>
      <c r="Y117" s="3">
        <v>37.030157496978397</v>
      </c>
      <c r="Z117" s="3">
        <v>25.156564580136202</v>
      </c>
      <c r="AA117" s="3">
        <v>49.777054758293602</v>
      </c>
      <c r="AB117" s="3">
        <v>42.889137184604799</v>
      </c>
      <c r="AC117" s="3">
        <v>38.326579674975001</v>
      </c>
      <c r="AD117" s="3">
        <v>21.737787998986899</v>
      </c>
      <c r="AE117" s="3">
        <v>35.459903026457397</v>
      </c>
      <c r="AF117" s="3">
        <v>10.726597899002799</v>
      </c>
      <c r="AG117" s="3">
        <v>28.168894277311001</v>
      </c>
      <c r="AH117" s="3">
        <v>25.122587784274199</v>
      </c>
      <c r="AI117" s="3">
        <v>46.734668740163301</v>
      </c>
    </row>
    <row r="118" spans="1:39" x14ac:dyDescent="0.3">
      <c r="A118" s="3">
        <v>232</v>
      </c>
      <c r="B118">
        <v>19</v>
      </c>
      <c r="C118">
        <v>28.073974374665902</v>
      </c>
      <c r="D118">
        <v>24.012981932857901</v>
      </c>
      <c r="E118">
        <v>27.760727521931599</v>
      </c>
      <c r="F118">
        <v>26.3058641306664</v>
      </c>
      <c r="G118">
        <v>21.451936459317601</v>
      </c>
      <c r="H118">
        <v>24.457754373519801</v>
      </c>
      <c r="I118" s="3">
        <v>14.389715602224699</v>
      </c>
      <c r="J118" s="3">
        <v>19.583822212344</v>
      </c>
      <c r="K118" s="3">
        <v>13.1886981669248</v>
      </c>
      <c r="L118" s="3">
        <v>15.792369660605299</v>
      </c>
      <c r="M118" s="3">
        <v>18.762970809722201</v>
      </c>
      <c r="N118" s="3">
        <v>12.152327191856401</v>
      </c>
      <c r="O118" s="3">
        <v>17.506996616001199</v>
      </c>
      <c r="P118" s="3">
        <v>19.840260943365699</v>
      </c>
      <c r="Q118" s="3">
        <v>25.4027217999177</v>
      </c>
      <c r="R118" s="3">
        <v>11.974283307935099</v>
      </c>
      <c r="S118" s="3">
        <v>20.027364742977699</v>
      </c>
      <c r="T118" s="3">
        <v>22.735329126373401</v>
      </c>
      <c r="U118" s="3">
        <v>15.579237796141699</v>
      </c>
      <c r="V118" s="3">
        <v>7.4356600754532201</v>
      </c>
      <c r="W118" s="3">
        <v>22.7781982341107</v>
      </c>
      <c r="X118" s="3">
        <v>14.561187837554099</v>
      </c>
      <c r="Y118" s="3">
        <v>23.4535728430617</v>
      </c>
      <c r="Z118" s="3">
        <v>15.933282506738299</v>
      </c>
      <c r="AA118" s="3">
        <v>31.527052459281901</v>
      </c>
      <c r="AB118" s="3">
        <v>27.164498769183201</v>
      </c>
      <c r="AC118" s="3">
        <v>24.2747479083089</v>
      </c>
      <c r="AD118" s="3">
        <v>13.7679809934214</v>
      </c>
      <c r="AE118" s="3">
        <v>22.4591130070561</v>
      </c>
      <c r="AF118" s="3">
        <v>6.7938689724413699</v>
      </c>
      <c r="AG118" s="3">
        <v>17.841242636381001</v>
      </c>
      <c r="AH118" s="3">
        <v>15.9118190601174</v>
      </c>
      <c r="AI118" s="3">
        <v>29.6002088217069</v>
      </c>
    </row>
    <row r="119" spans="1:39" x14ac:dyDescent="0.3">
      <c r="A119" s="3">
        <v>233</v>
      </c>
      <c r="B119">
        <v>28</v>
      </c>
      <c r="C119">
        <v>41.371730411903997</v>
      </c>
      <c r="D119">
        <v>35.387158783159798</v>
      </c>
      <c r="E119">
        <v>40.910067143371599</v>
      </c>
      <c r="F119">
        <v>38.766065481292799</v>
      </c>
      <c r="G119">
        <v>31.6129772289713</v>
      </c>
      <c r="H119">
        <v>36.042483107015101</v>
      </c>
      <c r="I119" s="3">
        <v>21.205567660758199</v>
      </c>
      <c r="J119" s="3">
        <v>28.859885477341599</v>
      </c>
      <c r="K119" s="3">
        <v>19.4356189443136</v>
      </c>
      <c r="L119" s="3">
        <v>23.272494148851901</v>
      </c>
      <c r="M119" s="3">
        <v>27.6500959136708</v>
      </c>
      <c r="N119" s="3">
        <v>17.908273445438098</v>
      </c>
      <c r="O119" s="3">
        <v>25.799143352998598</v>
      </c>
      <c r="P119" s="3">
        <v>29.237511709468102</v>
      </c>
      <c r="Q119" s="3">
        <v>37.4345746386388</v>
      </c>
      <c r="R119" s="3">
        <v>17.645807927945601</v>
      </c>
      <c r="S119" s="3">
        <v>29.513132921587001</v>
      </c>
      <c r="T119" s="3">
        <v>33.503660861508301</v>
      </c>
      <c r="U119" s="3">
        <v>22.958144318479398</v>
      </c>
      <c r="V119" s="3">
        <v>10.9574510964644</v>
      </c>
      <c r="W119" s="3">
        <v>33.5667159265113</v>
      </c>
      <c r="X119" s="3">
        <v>21.457838374795202</v>
      </c>
      <c r="Y119" s="3">
        <v>34.561921337565998</v>
      </c>
      <c r="Z119" s="3">
        <v>23.479766143976299</v>
      </c>
      <c r="AA119" s="3">
        <v>46.459196132408998</v>
      </c>
      <c r="AB119" s="3">
        <v>40.030392666727302</v>
      </c>
      <c r="AC119" s="3">
        <v>35.771954387601298</v>
      </c>
      <c r="AD119" s="3">
        <v>20.288876966725699</v>
      </c>
      <c r="AE119" s="3">
        <v>33.096360389414897</v>
      </c>
      <c r="AF119" s="3">
        <v>10.011628251576401</v>
      </c>
      <c r="AG119" s="3">
        <v>26.291329319616601</v>
      </c>
      <c r="AH119" s="3">
        <v>23.4480726368866</v>
      </c>
      <c r="AI119" s="3">
        <v>43.619629881710701</v>
      </c>
    </row>
    <row r="120" spans="1:39" x14ac:dyDescent="0.3">
      <c r="A120" s="3">
        <v>234</v>
      </c>
      <c r="B120">
        <v>9</v>
      </c>
      <c r="C120">
        <v>13.2983834229619</v>
      </c>
      <c r="D120">
        <v>11.3747348007334</v>
      </c>
      <c r="E120">
        <v>13.1500180513553</v>
      </c>
      <c r="F120">
        <v>12.460868875107099</v>
      </c>
      <c r="G120">
        <v>10.161611350162101</v>
      </c>
      <c r="H120">
        <v>11.5854698911354</v>
      </c>
      <c r="I120" s="3">
        <v>6.8163178986030104</v>
      </c>
      <c r="J120" s="3">
        <v>9.2767485797905707</v>
      </c>
      <c r="K120" s="3">
        <v>6.24742649710028</v>
      </c>
      <c r="L120" s="3">
        <v>7.4807919931923301</v>
      </c>
      <c r="M120" s="3">
        <v>8.8879711422118692</v>
      </c>
      <c r="N120" s="3">
        <v>5.7565393909826996</v>
      </c>
      <c r="O120" s="3">
        <v>8.2930536495364802</v>
      </c>
      <c r="P120" s="3">
        <v>9.3983363532351394</v>
      </c>
      <c r="Q120" s="3">
        <v>12.0332886407659</v>
      </c>
      <c r="R120" s="3">
        <v>5.6722375819893998</v>
      </c>
      <c r="S120" s="3">
        <v>9.4870096806841797</v>
      </c>
      <c r="T120" s="3">
        <v>10.769794059400001</v>
      </c>
      <c r="U120" s="3">
        <v>7.3799414698653303</v>
      </c>
      <c r="V120" s="3">
        <v>3.5223049408296898</v>
      </c>
      <c r="W120" s="3">
        <v>10.7901495845885</v>
      </c>
      <c r="X120" s="3">
        <v>6.8977158291326601</v>
      </c>
      <c r="Y120" s="3">
        <v>11.1100977669188</v>
      </c>
      <c r="Z120" s="3">
        <v>7.5476989350253803</v>
      </c>
      <c r="AA120" s="3">
        <v>14.9345766103896</v>
      </c>
      <c r="AB120" s="3">
        <v>12.8680114601085</v>
      </c>
      <c r="AC120" s="3">
        <v>11.499123289222499</v>
      </c>
      <c r="AD120" s="3">
        <v>6.52199537600284</v>
      </c>
      <c r="AE120" s="3">
        <v>10.639052861957101</v>
      </c>
      <c r="AF120" s="3">
        <v>3.2183082078929499</v>
      </c>
      <c r="AG120" s="3">
        <v>8.4515368675051707</v>
      </c>
      <c r="AH120" s="3">
        <v>7.5375563023804704</v>
      </c>
      <c r="AI120" s="3">
        <v>14.0218606647797</v>
      </c>
    </row>
    <row r="121" spans="1:39" x14ac:dyDescent="0.3">
      <c r="A121" s="1"/>
    </row>
    <row r="122" spans="1:39" x14ac:dyDescent="0.3">
      <c r="A122" t="s">
        <v>2</v>
      </c>
      <c r="B122">
        <f>raw_data!B120</f>
        <v>46404</v>
      </c>
      <c r="C122">
        <f>raw_data!C120</f>
        <v>84383</v>
      </c>
      <c r="D122">
        <f>raw_data!D120</f>
        <v>61375</v>
      </c>
      <c r="E122">
        <f>raw_data!E120</f>
        <v>69737</v>
      </c>
      <c r="F122">
        <f>raw_data!F120</f>
        <v>76733</v>
      </c>
      <c r="G122">
        <f>raw_data!G120</f>
        <v>62110</v>
      </c>
      <c r="H122">
        <f>raw_data!H120</f>
        <v>72474</v>
      </c>
      <c r="I122">
        <f>raw_data!I120</f>
        <v>42463</v>
      </c>
      <c r="J122">
        <f>raw_data!J120</f>
        <v>61269</v>
      </c>
      <c r="K122">
        <f>raw_data!K120</f>
        <v>42050</v>
      </c>
      <c r="L122">
        <f>raw_data!L120</f>
        <v>50546</v>
      </c>
      <c r="M122">
        <f>raw_data!M120</f>
        <v>61544</v>
      </c>
      <c r="N122">
        <f>raw_data!N120</f>
        <v>41554</v>
      </c>
      <c r="O122">
        <f>raw_data!O120</f>
        <v>60334</v>
      </c>
      <c r="P122">
        <f>raw_data!P120</f>
        <v>68773</v>
      </c>
      <c r="Q122">
        <f>raw_data!Q120</f>
        <v>89720</v>
      </c>
      <c r="R122">
        <f>raw_data!R120</f>
        <v>43278</v>
      </c>
      <c r="S122">
        <f>raw_data!S120</f>
        <v>66476</v>
      </c>
      <c r="T122">
        <f>raw_data!T120</f>
        <v>90351</v>
      </c>
      <c r="U122">
        <f>raw_data!U120</f>
        <v>61799</v>
      </c>
      <c r="V122">
        <f>raw_data!V120</f>
        <v>22520</v>
      </c>
      <c r="W122">
        <f>raw_data!W120</f>
        <v>83959</v>
      </c>
      <c r="X122">
        <f>raw_data!X120</f>
        <v>53499</v>
      </c>
      <c r="Y122">
        <f>raw_data!Y120</f>
        <v>89943</v>
      </c>
      <c r="Z122">
        <f>raw_data!Z120</f>
        <v>62459</v>
      </c>
      <c r="AA122">
        <f>raw_data!AA120</f>
        <v>118767</v>
      </c>
      <c r="AB122">
        <f>raw_data!AB120</f>
        <v>102994</v>
      </c>
      <c r="AC122">
        <f>raw_data!AC120</f>
        <v>95093</v>
      </c>
      <c r="AD122">
        <f>raw_data!AD120</f>
        <v>56738</v>
      </c>
      <c r="AE122">
        <f>raw_data!AE120</f>
        <v>91092</v>
      </c>
      <c r="AF122">
        <f>raw_data!AF120</f>
        <v>26704</v>
      </c>
      <c r="AG122">
        <f>raw_data!AG120</f>
        <v>72530</v>
      </c>
      <c r="AH122">
        <f>raw_data!AH120</f>
        <v>63343</v>
      </c>
      <c r="AI122">
        <f>raw_data!AI120</f>
        <v>118209</v>
      </c>
    </row>
    <row r="123" spans="1:39" x14ac:dyDescent="0.3">
      <c r="A123" t="s">
        <v>1</v>
      </c>
      <c r="B123" s="3">
        <f>SUM(B7:B120)</f>
        <v>46461.903515220416</v>
      </c>
      <c r="C123" s="3">
        <f t="shared" ref="C123:AI123" si="0">SUM(C7:C120)</f>
        <v>84566.288355605138</v>
      </c>
      <c r="D123" s="3">
        <f t="shared" si="0"/>
        <v>72752.491430604365</v>
      </c>
      <c r="E123" s="3">
        <f t="shared" si="0"/>
        <v>84839.026697218826</v>
      </c>
      <c r="F123" s="3">
        <f t="shared" si="0"/>
        <v>80908.637803227306</v>
      </c>
      <c r="G123" s="3">
        <f t="shared" si="0"/>
        <v>66564.960934856048</v>
      </c>
      <c r="H123" s="3">
        <f t="shared" si="0"/>
        <v>78081.875294074809</v>
      </c>
      <c r="I123" s="3">
        <f t="shared" si="0"/>
        <v>46627.03130668807</v>
      </c>
      <c r="J123" s="3">
        <f t="shared" si="0"/>
        <v>64697.215433647754</v>
      </c>
      <c r="K123" s="3">
        <f t="shared" si="0"/>
        <v>44631.525752816269</v>
      </c>
      <c r="L123" s="3">
        <f t="shared" si="0"/>
        <v>54952.826620365136</v>
      </c>
      <c r="M123" s="3">
        <f t="shared" si="0"/>
        <v>66547.082729952948</v>
      </c>
      <c r="N123" s="3">
        <f t="shared" si="0"/>
        <v>44175.770593945548</v>
      </c>
      <c r="O123" s="3">
        <f t="shared" si="0"/>
        <v>64892.166658128641</v>
      </c>
      <c r="P123" s="3">
        <f t="shared" si="0"/>
        <v>74886.041575143274</v>
      </c>
      <c r="Q123" s="3">
        <f t="shared" si="0"/>
        <v>96879.092073902633</v>
      </c>
      <c r="R123" s="3">
        <f t="shared" si="0"/>
        <v>46476.538648551985</v>
      </c>
      <c r="S123" s="3">
        <f t="shared" si="0"/>
        <v>78875.311238473616</v>
      </c>
      <c r="T123" s="3">
        <f t="shared" si="0"/>
        <v>90707.174625611471</v>
      </c>
      <c r="U123" s="3">
        <f t="shared" si="0"/>
        <v>62855.418402222247</v>
      </c>
      <c r="V123" s="3">
        <f t="shared" si="0"/>
        <v>30452.509333927774</v>
      </c>
      <c r="W123" s="3">
        <f t="shared" si="0"/>
        <v>94626.259380487681</v>
      </c>
      <c r="X123" s="3">
        <f t="shared" si="0"/>
        <v>60912.591161418313</v>
      </c>
      <c r="Y123" s="3">
        <f t="shared" si="0"/>
        <v>98804.677153858938</v>
      </c>
      <c r="Z123" s="3">
        <f t="shared" si="0"/>
        <v>67642.369876393379</v>
      </c>
      <c r="AA123" s="3">
        <f t="shared" si="0"/>
        <v>134358.65113742955</v>
      </c>
      <c r="AB123" s="3">
        <f t="shared" si="0"/>
        <v>115980.13641969165</v>
      </c>
      <c r="AC123" s="3">
        <f t="shared" si="0"/>
        <v>103988.08835729203</v>
      </c>
      <c r="AD123" s="3">
        <f t="shared" si="0"/>
        <v>59140.202804861285</v>
      </c>
      <c r="AE123" s="3">
        <f t="shared" si="0"/>
        <v>96639.424517688647</v>
      </c>
      <c r="AF123" s="3">
        <f t="shared" si="0"/>
        <v>29241.434087660877</v>
      </c>
      <c r="AG123" s="3">
        <f t="shared" si="0"/>
        <v>76918.086370115809</v>
      </c>
      <c r="AH123" s="3">
        <f t="shared" si="0"/>
        <v>68670.520064191835</v>
      </c>
      <c r="AI123" s="3">
        <f t="shared" si="0"/>
        <v>127823.02527134461</v>
      </c>
    </row>
    <row r="124" spans="1:39" x14ac:dyDescent="0.3">
      <c r="A124" t="s">
        <v>11</v>
      </c>
      <c r="B124" s="3">
        <f>B123-B122</f>
        <v>57.903515220416011</v>
      </c>
      <c r="C124" s="3">
        <f t="shared" ref="C124:AI124" si="1">C123-C122</f>
        <v>183.28835560513835</v>
      </c>
      <c r="D124" s="3">
        <f t="shared" si="1"/>
        <v>11377.491430604365</v>
      </c>
      <c r="E124" s="3">
        <f t="shared" si="1"/>
        <v>15102.026697218826</v>
      </c>
      <c r="F124" s="3">
        <f t="shared" si="1"/>
        <v>4175.637803227306</v>
      </c>
      <c r="G124" s="3">
        <f t="shared" si="1"/>
        <v>4454.960934856048</v>
      </c>
      <c r="H124" s="3">
        <f t="shared" si="1"/>
        <v>5607.8752940748091</v>
      </c>
      <c r="I124" s="3">
        <f t="shared" si="1"/>
        <v>4164.0313066880699</v>
      </c>
      <c r="J124" s="3">
        <f t="shared" si="1"/>
        <v>3428.2154336477543</v>
      </c>
      <c r="K124" s="3">
        <f t="shared" si="1"/>
        <v>2581.5257528162692</v>
      </c>
      <c r="L124" s="3">
        <f t="shared" si="1"/>
        <v>4406.8266203651365</v>
      </c>
      <c r="M124" s="3">
        <f t="shared" si="1"/>
        <v>5003.0827299529483</v>
      </c>
      <c r="N124" s="3">
        <f t="shared" si="1"/>
        <v>2621.7705939455482</v>
      </c>
      <c r="O124" s="3">
        <f t="shared" si="1"/>
        <v>4558.1666581286408</v>
      </c>
      <c r="P124" s="3">
        <f t="shared" si="1"/>
        <v>6113.0415751432738</v>
      </c>
      <c r="Q124" s="3">
        <f t="shared" si="1"/>
        <v>7159.0920739026333</v>
      </c>
      <c r="R124" s="3">
        <f t="shared" si="1"/>
        <v>3198.5386485519848</v>
      </c>
      <c r="S124" s="3">
        <f t="shared" si="1"/>
        <v>12399.311238473616</v>
      </c>
      <c r="T124" s="3">
        <f t="shared" si="1"/>
        <v>356.17462561147113</v>
      </c>
      <c r="U124" s="3">
        <f t="shared" si="1"/>
        <v>1056.4184022222471</v>
      </c>
      <c r="V124" s="3">
        <f>V123-V122</f>
        <v>7932.5093339277737</v>
      </c>
      <c r="W124" s="3">
        <f t="shared" si="1"/>
        <v>10667.259380487681</v>
      </c>
      <c r="X124" s="3">
        <f t="shared" si="1"/>
        <v>7413.5911614183133</v>
      </c>
      <c r="Y124" s="3">
        <f t="shared" si="1"/>
        <v>8861.6771538589383</v>
      </c>
      <c r="Z124" s="3">
        <f t="shared" si="1"/>
        <v>5183.3698763933789</v>
      </c>
      <c r="AA124" s="3">
        <f t="shared" si="1"/>
        <v>15591.651137429551</v>
      </c>
      <c r="AB124" s="3">
        <f t="shared" si="1"/>
        <v>12986.136419691655</v>
      </c>
      <c r="AC124" s="3">
        <f t="shared" si="1"/>
        <v>8895.0883572920284</v>
      </c>
      <c r="AD124" s="3">
        <f t="shared" si="1"/>
        <v>2402.2028048612847</v>
      </c>
      <c r="AE124" s="3">
        <f t="shared" si="1"/>
        <v>5547.424517688647</v>
      </c>
      <c r="AF124" s="3">
        <f t="shared" si="1"/>
        <v>2537.4340876608767</v>
      </c>
      <c r="AG124" s="3">
        <f t="shared" si="1"/>
        <v>4388.0863701158087</v>
      </c>
      <c r="AH124" s="3">
        <f t="shared" si="1"/>
        <v>5327.5200641918345</v>
      </c>
      <c r="AI124" s="3">
        <f t="shared" si="1"/>
        <v>9614.0252713446098</v>
      </c>
    </row>
    <row r="125" spans="1:39" x14ac:dyDescent="0.3">
      <c r="A125" t="s">
        <v>8</v>
      </c>
      <c r="B125" s="4">
        <f>B124/B123</f>
        <v>1.2462579197050642E-3</v>
      </c>
      <c r="C125" s="6">
        <f t="shared" ref="C125:AI125" si="2">C124/C123</f>
        <v>2.1673926947627449E-3</v>
      </c>
      <c r="D125" s="4">
        <f t="shared" si="2"/>
        <v>0.15638627910711334</v>
      </c>
      <c r="E125" s="4">
        <f t="shared" si="2"/>
        <v>0.17800801453223056</v>
      </c>
      <c r="F125" s="4">
        <f t="shared" si="2"/>
        <v>5.1609295578336226E-2</v>
      </c>
      <c r="G125" s="4">
        <f t="shared" si="2"/>
        <v>6.6926516177421111E-2</v>
      </c>
      <c r="H125" s="4">
        <f t="shared" si="2"/>
        <v>7.1820448381320567E-2</v>
      </c>
      <c r="I125" s="4">
        <f t="shared" si="2"/>
        <v>8.9305091703120953E-2</v>
      </c>
      <c r="J125" s="4">
        <f t="shared" si="2"/>
        <v>5.2988608716300435E-2</v>
      </c>
      <c r="K125" s="4">
        <f t="shared" si="2"/>
        <v>5.7840858211157475E-2</v>
      </c>
      <c r="L125" s="4">
        <f t="shared" si="2"/>
        <v>8.0192901646518711E-2</v>
      </c>
      <c r="M125" s="4">
        <f t="shared" si="2"/>
        <v>7.5181097723778248E-2</v>
      </c>
      <c r="N125" s="4">
        <f t="shared" si="2"/>
        <v>5.9348610305959698E-2</v>
      </c>
      <c r="O125" s="4">
        <f t="shared" si="2"/>
        <v>7.0242170863895281E-2</v>
      </c>
      <c r="P125" s="4">
        <f t="shared" si="2"/>
        <v>8.163125525882195E-2</v>
      </c>
      <c r="Q125" s="4">
        <f t="shared" si="2"/>
        <v>7.3897183805577332E-2</v>
      </c>
      <c r="R125" s="4">
        <f t="shared" si="2"/>
        <v>6.8820500440852819E-2</v>
      </c>
      <c r="S125" s="4">
        <f t="shared" si="2"/>
        <v>0.15720142391559286</v>
      </c>
      <c r="T125" s="4">
        <f t="shared" si="2"/>
        <v>3.926642264865607E-3</v>
      </c>
      <c r="U125" s="4">
        <f t="shared" si="2"/>
        <v>1.6807117494024946E-2</v>
      </c>
      <c r="V125" s="4">
        <f t="shared" si="2"/>
        <v>0.26048787135876517</v>
      </c>
      <c r="W125" s="4">
        <f t="shared" si="2"/>
        <v>0.11273043497994716</v>
      </c>
      <c r="X125" s="4">
        <f t="shared" si="2"/>
        <v>0.12170868157245689</v>
      </c>
      <c r="Y125" s="4">
        <f t="shared" si="2"/>
        <v>8.9688842766618301E-2</v>
      </c>
      <c r="Z125" s="4">
        <f t="shared" si="2"/>
        <v>7.6629040139563939E-2</v>
      </c>
      <c r="AA125" s="4">
        <f t="shared" si="2"/>
        <v>0.11604501091248332</v>
      </c>
      <c r="AB125" s="4">
        <f t="shared" si="2"/>
        <v>0.11196862515059783</v>
      </c>
      <c r="AC125" s="4">
        <f t="shared" si="2"/>
        <v>8.5539493011251924E-2</v>
      </c>
      <c r="AD125" s="4">
        <f t="shared" si="2"/>
        <v>4.0618778613045699E-2</v>
      </c>
      <c r="AE125" s="4">
        <f t="shared" si="2"/>
        <v>5.7403327320862306E-2</v>
      </c>
      <c r="AF125" s="4">
        <f t="shared" si="2"/>
        <v>8.6775295632015803E-2</v>
      </c>
      <c r="AG125" s="4">
        <f t="shared" si="2"/>
        <v>5.7048823978812176E-2</v>
      </c>
      <c r="AH125" s="4">
        <f t="shared" si="2"/>
        <v>7.7580890012363013E-2</v>
      </c>
      <c r="AI125" s="4">
        <f t="shared" si="2"/>
        <v>7.5213563839033021E-2</v>
      </c>
      <c r="AK125" s="7">
        <f>MIN(B125:AI125)</f>
        <v>1.2462579197050642E-3</v>
      </c>
      <c r="AL125" s="7">
        <f>MAX(B125:AI125)</f>
        <v>0.26048787135876517</v>
      </c>
      <c r="AM125" s="8">
        <f>AVERAGE(B125:AI125)</f>
        <v>8.1911363118505082E-2</v>
      </c>
    </row>
  </sheetData>
  <mergeCells count="1">
    <mergeCell ref="H2:I2"/>
  </mergeCells>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global_missfill (Chilkat)</vt:lpstr>
      <vt:lpstr>global_missfill</vt:lpstr>
      <vt:lpstr>local_missfill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Heinl, Steve (DFG)</dc:creator>
  <cp:lastModifiedBy>Miller, Sara E (DFG)</cp:lastModifiedBy>
  <dcterms:created xsi:type="dcterms:W3CDTF">2021-10-04T23:21:23Z</dcterms:created>
  <dcterms:modified xsi:type="dcterms:W3CDTF">2025-11-26T22:02:35Z</dcterms:modified>
</cp:coreProperties>
</file>